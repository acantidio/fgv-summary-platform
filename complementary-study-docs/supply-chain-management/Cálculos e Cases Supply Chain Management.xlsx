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<sst xmlns="http://schemas.openxmlformats.org/spreadsheetml/2006/main" count="283" uniqueCount="240">
  <si>
    <t>Quantidade</t>
  </si>
  <si>
    <t>Preço</t>
  </si>
  <si>
    <t>Custo Fixo</t>
  </si>
  <si>
    <t>Custo Variável Unitário</t>
  </si>
  <si>
    <t>Lucratividade</t>
  </si>
  <si>
    <t>Ponto de Equilíbrio Físico</t>
  </si>
  <si>
    <t>Ponto de Equilíbrio Monetário</t>
  </si>
  <si>
    <t>Margem Contribuição</t>
  </si>
  <si>
    <t>Margem Contribuição Unitária</t>
  </si>
  <si>
    <t>CASE 2</t>
  </si>
  <si>
    <t>Aplicação de Fórmula direta, indo e voltando!</t>
  </si>
  <si>
    <t>1)</t>
  </si>
  <si>
    <t>LUCRATIVIDADE PREVISTA</t>
  </si>
  <si>
    <t>2)</t>
  </si>
  <si>
    <t>AUMENTO</t>
  </si>
  <si>
    <t>3)</t>
  </si>
  <si>
    <t>KM</t>
  </si>
  <si>
    <t>REDUÇÃO</t>
  </si>
  <si>
    <t>4)</t>
  </si>
  <si>
    <t>Aumento Mínimo</t>
  </si>
  <si>
    <t>IMPORTANTE! Aqui, sobrar pelo menos os 40 mil, pra manter o lucro!</t>
  </si>
  <si>
    <t>CASE 3</t>
  </si>
  <si>
    <t>PREJUIZO</t>
  </si>
  <si>
    <t>CASE 5</t>
  </si>
  <si>
    <t>TOTAL</t>
  </si>
  <si>
    <t>Secos</t>
  </si>
  <si>
    <t>Couro</t>
  </si>
  <si>
    <t>Drogaria</t>
  </si>
  <si>
    <t>Análise</t>
  </si>
  <si>
    <t>Vendas</t>
  </si>
  <si>
    <t>CMV</t>
  </si>
  <si>
    <t>Custo Variável</t>
  </si>
  <si>
    <t>(Varia, desconta)</t>
  </si>
  <si>
    <t>Pessoal</t>
  </si>
  <si>
    <t>Aluguel</t>
  </si>
  <si>
    <t>(Não Varia, não desconta)</t>
  </si>
  <si>
    <t>Despesas Fixas</t>
  </si>
  <si>
    <t>Resultado</t>
  </si>
  <si>
    <t>Margem de Contribuição</t>
  </si>
  <si>
    <t>Relativização da Margem de Contribuição com o Resultado de cada setor (Lucratividade Operacional)</t>
  </si>
  <si>
    <t>Margem Operacional da Empresa</t>
  </si>
  <si>
    <t>Margem acima! Setor esta bem</t>
  </si>
  <si>
    <t>Margem abaixo, oportunidade de melhoria.</t>
  </si>
  <si>
    <t>Diagnóstico: Problema operacional Hipoteses:</t>
  </si>
  <si>
    <t>Custos estão altos?</t>
  </si>
  <si>
    <t>Meu preco esta baixo?</t>
  </si>
  <si>
    <t>Realizar analise do MCU dos itens com menor margem para talvez fazer uma limpeza de portfolio</t>
  </si>
  <si>
    <t>Diagnóstico (Exercicio):</t>
  </si>
  <si>
    <t>Não extinguir o setor, pois extinguir irá causar um aumento no prejuízo da empresa</t>
  </si>
  <si>
    <t>CASE 6</t>
  </si>
  <si>
    <t>Capacidade</t>
  </si>
  <si>
    <t>Custos Variáveis unitário</t>
  </si>
  <si>
    <t>Custos Fixos</t>
  </si>
  <si>
    <t>Custos Variaveis</t>
  </si>
  <si>
    <t>Custo por atendimento</t>
  </si>
  <si>
    <t>Plano de Saúde Pagará</t>
  </si>
  <si>
    <t>Plano de saúde proporcionará atendimentos</t>
  </si>
  <si>
    <t>MCU (R$ por atendimento)</t>
  </si>
  <si>
    <t>Pra cada atendimento que faço tenho uma sobra operacional de 30 reais</t>
  </si>
  <si>
    <t>MC</t>
  </si>
  <si>
    <t>Acrescentará 300 mil de caixa, para ajudar a pagar os custos fixos. A oferta cobre os custos operacionais.</t>
  </si>
  <si>
    <t xml:space="preserve">Logo, SIM! Deve aceitar a oferta do plano de saúde. </t>
  </si>
  <si>
    <t>Quando tiver capacidade ociosa, se preocupe em cobrir a operação!</t>
  </si>
  <si>
    <t>Conclusão</t>
  </si>
  <si>
    <t>Se houver ociosidade, basta que a oferta cubra os CVUs (Custos Operacionais)</t>
  </si>
  <si>
    <t>CASE 7</t>
  </si>
  <si>
    <t>Demanda por ano</t>
  </si>
  <si>
    <t>Distância (Km)</t>
  </si>
  <si>
    <t>Tempo de Viagem (Ciclo completo)</t>
  </si>
  <si>
    <t>dias</t>
  </si>
  <si>
    <t>Peso Bruto por eletrodoméstico (Kg)</t>
  </si>
  <si>
    <t>Tempo de veículo indisponível no mês</t>
  </si>
  <si>
    <t>Mês</t>
  </si>
  <si>
    <t>Dias disponíveis</t>
  </si>
  <si>
    <t>Disponibilidade de viagens por mês</t>
  </si>
  <si>
    <t>SCANIA T 114 - Veículo</t>
  </si>
  <si>
    <t>Capacidade Util (Kg)</t>
  </si>
  <si>
    <t>OBS: Sempre arredondando pra cima!</t>
  </si>
  <si>
    <t>Custo Fixo (R$ por mês)</t>
  </si>
  <si>
    <t>Custo Variável (R$ por Km)</t>
  </si>
  <si>
    <t>Demanda Flat Mensal</t>
  </si>
  <si>
    <t>Unidades por mês</t>
  </si>
  <si>
    <t>Carga mensal abastecida (Kg por mês)</t>
  </si>
  <si>
    <t>Quantidade Viagens no mês</t>
  </si>
  <si>
    <t>Viagens</t>
  </si>
  <si>
    <t>Consigo cobrir a necessidade de viagens com 1 veículo</t>
  </si>
  <si>
    <t>SIM! 5 viagens de disponibilidade e 5 de necessidade!</t>
  </si>
  <si>
    <t>Trecho Ida e Volta</t>
  </si>
  <si>
    <t>Ida e volta</t>
  </si>
  <si>
    <t>Quilometragem por mês</t>
  </si>
  <si>
    <t>Custo Variável por mês</t>
  </si>
  <si>
    <t>Custo Fixo por mês</t>
  </si>
  <si>
    <t>Custo Total de transporte por mês</t>
  </si>
  <si>
    <t>Custo por Unidade</t>
  </si>
  <si>
    <t>Outras Medidas de Desempenho Importante</t>
  </si>
  <si>
    <t>Custo por Unidade (R$ por Und)</t>
  </si>
  <si>
    <t>Custo por Distância (R$ por Km)</t>
  </si>
  <si>
    <t>Carga mensal abastecida em Ton</t>
  </si>
  <si>
    <t>Custo por Tonelada Transportada (R$ por Ton) - Muito usado pra Granel</t>
  </si>
  <si>
    <t>EXERCICIO EM GRUPO</t>
  </si>
  <si>
    <t>CUSTOS DA EMPRESA</t>
  </si>
  <si>
    <t>Unidade</t>
  </si>
  <si>
    <t>Valor</t>
  </si>
  <si>
    <t>Salário do motorista</t>
  </si>
  <si>
    <t>R$/mês</t>
  </si>
  <si>
    <t>Encargos e benefícios do motorista</t>
  </si>
  <si>
    <t>Taxa de oportunidade</t>
  </si>
  <si>
    <t>% a.a.</t>
  </si>
  <si>
    <t>% a.m.</t>
  </si>
  <si>
    <t>Custos administrativos (transporte)</t>
  </si>
  <si>
    <t>DADOS DO VEÍCULO VOLVO</t>
  </si>
  <si>
    <t>Consumo em combustível</t>
  </si>
  <si>
    <t>Km/litro</t>
  </si>
  <si>
    <t>Intervalo para troca de óleo</t>
  </si>
  <si>
    <t>Km</t>
  </si>
  <si>
    <t>Litros de óleo por troca</t>
  </si>
  <si>
    <t>Litro</t>
  </si>
  <si>
    <t>Número de pneus</t>
  </si>
  <si>
    <t>unidades</t>
  </si>
  <si>
    <t>Intervalo entre troca de pneus (vida útil)</t>
  </si>
  <si>
    <t>Custo de manutenção</t>
  </si>
  <si>
    <t>R$/km</t>
  </si>
  <si>
    <t>Intervalo entre lubrificações de chassis</t>
  </si>
  <si>
    <t>Capacidade de transporte do veículo</t>
  </si>
  <si>
    <t>Kg</t>
  </si>
  <si>
    <t>DADOS DE MERCADO</t>
  </si>
  <si>
    <t>Valor de aquisição do veículo</t>
  </si>
  <si>
    <t>R$</t>
  </si>
  <si>
    <t>Vida útil do veículo</t>
  </si>
  <si>
    <t>meses</t>
  </si>
  <si>
    <t>Valor residual do veículo</t>
  </si>
  <si>
    <t>Preço do óleo</t>
  </si>
  <si>
    <t>R$/litro</t>
  </si>
  <si>
    <t>/Preço da lubrificação</t>
  </si>
  <si>
    <t>R$/lubrificação</t>
  </si>
  <si>
    <t>Preço do combustível</t>
  </si>
  <si>
    <t>Preço do pneu</t>
  </si>
  <si>
    <t>IPVA/seguro obrigatório</t>
  </si>
  <si>
    <t>R$/ano</t>
  </si>
  <si>
    <t>OUTRAS INFORMAÇÕES</t>
  </si>
  <si>
    <t>Distância entre Rio de Janeiro e Recife</t>
  </si>
  <si>
    <t>Demanda anual do produto atendido pelo CD</t>
  </si>
  <si>
    <t>Unidades</t>
  </si>
  <si>
    <t>Peso bruto do produto</t>
  </si>
  <si>
    <t>Tempo de viagem em ciclo completo</t>
  </si>
  <si>
    <t>Dias</t>
  </si>
  <si>
    <t>Tempo de indisponibilidade do veículo no mês</t>
  </si>
  <si>
    <t>Demanda Mensal em und</t>
  </si>
  <si>
    <t>Demanda Mensal em Peso</t>
  </si>
  <si>
    <t>Distância Round Trip e km</t>
  </si>
  <si>
    <t>Disponibilidade de 1 Caminhão</t>
  </si>
  <si>
    <t>Quantidade de viagens por mês</t>
  </si>
  <si>
    <t>Capacidade de trânsito com 1 caminhão</t>
  </si>
  <si>
    <t>Fator entre demanda mensal em peso e capacidade de transito de 1 caminhao</t>
  </si>
  <si>
    <t>Logo, necessidade 2 caminhões!</t>
  </si>
  <si>
    <t>a)</t>
  </si>
  <si>
    <t>Caminhões</t>
  </si>
  <si>
    <t>Saldo de carga à ser transportado</t>
  </si>
  <si>
    <t>Saldo de carga por caminhão</t>
  </si>
  <si>
    <t>Logo, necessidade de 3 viagens no segundo caminhão</t>
  </si>
  <si>
    <t>b)</t>
  </si>
  <si>
    <t>kg por viagem</t>
  </si>
  <si>
    <t>de ocupação em Kg</t>
  </si>
  <si>
    <t>c)</t>
  </si>
  <si>
    <t>Capacidade dos 2 caminhões</t>
  </si>
  <si>
    <t>Razão entre carga da demanda e carga de capacidade total dos 2 caminhões</t>
  </si>
  <si>
    <t>d)</t>
  </si>
  <si>
    <t>CUSTOS FIXOS</t>
  </si>
  <si>
    <t>Depreciação por caminhão</t>
  </si>
  <si>
    <t>Depreciação dos 2 caminhões</t>
  </si>
  <si>
    <t>Salário + encargos de 2 motoristas</t>
  </si>
  <si>
    <t>IPVA por mês</t>
  </si>
  <si>
    <t>IPVA pros 2 veículos</t>
  </si>
  <si>
    <t>Custos adm dos 2 veículos</t>
  </si>
  <si>
    <t>Custo da oportunidade para 1 caminhao</t>
  </si>
  <si>
    <t>Custo da oportunidade para 2 caminhoes</t>
  </si>
  <si>
    <t>Km total</t>
  </si>
  <si>
    <t>Custos Fixos por Km</t>
  </si>
  <si>
    <t>R$ por Km</t>
  </si>
  <si>
    <t>CUSTOS VARIÁVEIS</t>
  </si>
  <si>
    <t>PNEUS</t>
  </si>
  <si>
    <t>Custo por troca dos pneus (18 pneus à R$ 720 o pneu)</t>
  </si>
  <si>
    <t>Custo variável do pneu por Km</t>
  </si>
  <si>
    <t>COMBUSTIVEL</t>
  </si>
  <si>
    <t>Custo combustível por Km</t>
  </si>
  <si>
    <t>ÓLEO</t>
  </si>
  <si>
    <t>Custo de óleo por Km</t>
  </si>
  <si>
    <t>LUBRIFICAÇÃO</t>
  </si>
  <si>
    <t>Custo de Lubrificação por Km</t>
  </si>
  <si>
    <t>MANUTENCAO</t>
  </si>
  <si>
    <t>CUSTO VARIÁVEL</t>
  </si>
  <si>
    <t>Custo Transporte</t>
  </si>
  <si>
    <t>Round Trip</t>
  </si>
  <si>
    <t>Qtd viagens</t>
  </si>
  <si>
    <t>Custo de frete por km</t>
  </si>
  <si>
    <t>Custo com transporte terceiro mensal</t>
  </si>
  <si>
    <t>Custo com transporte proprio mensal</t>
  </si>
  <si>
    <t>Diferença</t>
  </si>
  <si>
    <t>Diagnóstico: Entendendo que ainda faltam considerar informações importantes na composição do custo próprio, como Seguro e Riscos, vale analisar se essa diferença compensa. Nesse caso, ao computar esses valores no custo proprio, a diferença dos 30 mil cairia ainda mais, que considerando uma exposição alta de risco, não compensaria.</t>
  </si>
  <si>
    <t>CASO 11</t>
  </si>
  <si>
    <t>Preço Proposta A</t>
  </si>
  <si>
    <t>Preço Proposta B</t>
  </si>
  <si>
    <t>Gasto na prestação do serviço A</t>
  </si>
  <si>
    <t>Custo total de não conformidade A</t>
  </si>
  <si>
    <t>Gasto na prestação do serviço B</t>
  </si>
  <si>
    <t>Custo total de não conformidade B</t>
  </si>
  <si>
    <t>IDF do A</t>
  </si>
  <si>
    <t>IDF do B</t>
  </si>
  <si>
    <t>TCO A</t>
  </si>
  <si>
    <t>TCO B</t>
  </si>
  <si>
    <t>DIFERENÇA</t>
  </si>
  <si>
    <t>B 26 mil mais barato em TCO!</t>
  </si>
  <si>
    <t>TCO B &lt; TCO A</t>
  </si>
  <si>
    <t>Resultado: Melhor comprar do B</t>
  </si>
  <si>
    <t>CASO 12</t>
  </si>
  <si>
    <t>Preço Proposta TECMED</t>
  </si>
  <si>
    <t>Preço Proposta ULTRA</t>
  </si>
  <si>
    <t>Gasto na prestação do serviço TECMED</t>
  </si>
  <si>
    <t>Custo total de não conformidade TECMED</t>
  </si>
  <si>
    <t>Gasto na prestação do serviço ULTRA</t>
  </si>
  <si>
    <t>Custo total de não conformidade ULTRA</t>
  </si>
  <si>
    <t>IDF do TECMED</t>
  </si>
  <si>
    <t>IDF do ULTRA</t>
  </si>
  <si>
    <t>TCO TECMED</t>
  </si>
  <si>
    <t>TCO ULTRA</t>
  </si>
  <si>
    <t>TCO ULTRA &lt; TCO TECMED</t>
  </si>
  <si>
    <t>Resultado: Melhor comprar do ULTRA</t>
  </si>
  <si>
    <t>CASO 13</t>
  </si>
  <si>
    <t>Preço Proposta HTEC</t>
  </si>
  <si>
    <t>Preço Proposta MEDCARE</t>
  </si>
  <si>
    <t>Gasto na prestação do serviço HTEC</t>
  </si>
  <si>
    <t>Custo total de não conformidade HTEC</t>
  </si>
  <si>
    <t>Gasto na prestação do serviço MEDCARE</t>
  </si>
  <si>
    <t>Custo total de não conformidade MEDCARE</t>
  </si>
  <si>
    <t>IDF do HTEC</t>
  </si>
  <si>
    <t>IDF do MEDCARE</t>
  </si>
  <si>
    <t>TCO HTEC</t>
  </si>
  <si>
    <t>TCO MEDCARE</t>
  </si>
  <si>
    <t>TCO MEDCARE &lt; TCO HTEC</t>
  </si>
  <si>
    <t>Recomendação é comprar com a MEDCARE pois o Custo Total de Oportunidade é mais barato com ela.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</si>
</sst>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R$ -416]#,##0.00"/>
    <numFmt numFmtId="165" formatCode="_([$R$ -416]* #,##0.00_);_([$R$ -416]* \(#,##0.00\);_([$R$ -416]* &quot;-&quot;??_);_(@_)"/>
    <numFmt numFmtId="166" formatCode="0.000"/>
    <numFmt numFmtId="167" formatCode="0.0000"/>
    <numFmt numFmtId="168" formatCode="0.00000"/>
  </numFmts>
  <fonts count="13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rgb="FF000000"/>
      <name val="Arial"/>
    </font>
    <font>
      <sz val="10.0"/>
      <color rgb="FF000000"/>
      <name val="Arial"/>
    </font>
    <font>
      <sz val="10.0"/>
      <color rgb="FFCC4125"/>
      <name val="Arial"/>
    </font>
    <font>
      <b/>
      <sz val="10.0"/>
      <color rgb="FFCC4125"/>
      <name val="Arial"/>
    </font>
    <font>
      <b/>
      <sz val="16.0"/>
      <color rgb="FFC0504D"/>
      <name val="Arial"/>
    </font>
    <font>
      <color theme="1"/>
      <name val="Arial"/>
    </font>
    <font>
      <b/>
      <color theme="1"/>
      <name val="Arial"/>
    </font>
    <font>
      <sz val="11.0"/>
      <color theme="1"/>
      <name val="Calibri"/>
    </font>
    <font>
      <b/>
      <sz val="14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3" numFmtId="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4" xfId="0" applyAlignment="1" applyFont="1" applyNumberFormat="1">
      <alignment shrinkToFit="0" vertical="center" wrapText="0"/>
    </xf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2" numFmtId="10" xfId="0" applyFont="1" applyNumberFormat="1"/>
    <xf borderId="0" fillId="0" fontId="3" numFmtId="0" xfId="0" applyFont="1"/>
    <xf borderId="0" fillId="0" fontId="3" numFmtId="4" xfId="0" applyAlignment="1" applyFont="1" applyNumberFormat="1">
      <alignment readingOrder="0"/>
    </xf>
    <xf borderId="0" fillId="0" fontId="2" numFmtId="4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165" xfId="0" applyFont="1" applyNumberFormat="1"/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Font="1"/>
    <xf borderId="0" fillId="0" fontId="3" numFmtId="4" xfId="0" applyFont="1" applyNumberFormat="1"/>
    <xf borderId="0" fillId="0" fontId="3" numFmtId="0" xfId="0" applyAlignment="1" applyFont="1">
      <alignment readingOrder="0" shrinkToFit="0" wrapText="1"/>
    </xf>
    <xf borderId="0" fillId="0" fontId="3" numFmtId="10" xfId="0" applyFont="1" applyNumberFormat="1"/>
    <xf borderId="0" fillId="0" fontId="9" numFmtId="0" xfId="0" applyAlignment="1" applyFont="1">
      <alignment readingOrder="0" vertical="bottom"/>
    </xf>
    <xf borderId="0" fillId="0" fontId="10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2" xfId="0" applyFont="1" applyNumberFormat="1"/>
    <xf borderId="0" fillId="0" fontId="3" numFmtId="2" xfId="0" applyFont="1" applyNumberFormat="1"/>
    <xf borderId="0" fillId="0" fontId="3" numFmtId="166" xfId="0" applyFont="1" applyNumberFormat="1"/>
    <xf borderId="1" fillId="2" fontId="10" numFmtId="0" xfId="0" applyAlignment="1" applyBorder="1" applyFill="1" applyFont="1">
      <alignment horizontal="center"/>
    </xf>
    <xf borderId="2" fillId="2" fontId="10" numFmtId="0" xfId="0" applyAlignment="1" applyBorder="1" applyFont="1">
      <alignment horizontal="center"/>
    </xf>
    <xf borderId="3" fillId="0" fontId="9" numFmtId="0" xfId="0" applyBorder="1" applyFont="1"/>
    <xf borderId="4" fillId="0" fontId="9" numFmtId="0" xfId="0" applyBorder="1" applyFont="1"/>
    <xf borderId="4" fillId="0" fontId="9" numFmtId="4" xfId="0" applyAlignment="1" applyBorder="1" applyFont="1" applyNumberFormat="1">
      <alignment horizontal="center"/>
    </xf>
    <xf borderId="4" fillId="0" fontId="9" numFmtId="9" xfId="0" applyAlignment="1" applyBorder="1" applyFont="1" applyNumberFormat="1">
      <alignment horizontal="center"/>
    </xf>
    <xf borderId="4" fillId="0" fontId="9" numFmtId="10" xfId="0" applyAlignment="1" applyBorder="1" applyFont="1" applyNumberFormat="1">
      <alignment horizontal="center"/>
    </xf>
    <xf borderId="5" fillId="2" fontId="10" numFmtId="0" xfId="0" applyAlignment="1" applyBorder="1" applyFont="1">
      <alignment horizontal="center"/>
    </xf>
    <xf borderId="6" fillId="2" fontId="11" numFmtId="0" xfId="0" applyBorder="1" applyFont="1"/>
    <xf borderId="4" fillId="0" fontId="9" numFmtId="0" xfId="0" applyAlignment="1" applyBorder="1" applyFont="1">
      <alignment horizontal="center"/>
    </xf>
    <xf borderId="0" fillId="0" fontId="3" numFmtId="167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1" numFmtId="166" xfId="0" applyFont="1" applyNumberFormat="1"/>
    <xf borderId="0" fillId="2" fontId="12" numFmtId="166" xfId="0" applyFont="1" applyNumberFormat="1"/>
    <xf borderId="0" fillId="0" fontId="2" numFmtId="164" xfId="0" applyFont="1" applyNumberFormat="1"/>
    <xf borderId="0" fillId="0" fontId="3" numFmtId="164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Página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1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D4" displayName="Inputs" name="Inputs" id="1">
  <tableColumns count="4">
    <tableColumn name="Quantidade" id="1"/>
    <tableColumn name="Preço" id="2"/>
    <tableColumn name="Custo Fixo" id="3"/>
    <tableColumn name="Custo Variável Unitário" id="4"/>
  </tableColumns>
  <tableStyleInfo name="Página1-style" showColumnStripes="0" showFirstColumn="1" showLastColumn="1" showRowStripes="1"/>
</table>
</file>

<file path=xl/tables/table2.xml><?xml version="1.0" encoding="utf-8"?>
<table xmlns="http://schemas.openxmlformats.org/spreadsheetml/2006/main" ref="A6:E7" displayName="Outputs" name="Outputs" id="2">
  <tableColumns count="5">
    <tableColumn name="Lucratividade" id="1"/>
    <tableColumn name="Ponto de Equilíbrio Físico" id="2"/>
    <tableColumn name="Ponto de Equilíbrio Monetário" id="3"/>
    <tableColumn name="Margem Contribuição" id="4"/>
    <tableColumn name="Margem Contribuição Unitária" id="5"/>
  </tableColumns>
  <tableStyleInfo name="Página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0"/>
    <col customWidth="1" min="2" max="2" width="34.38"/>
    <col customWidth="1" min="3" max="3" width="45.75"/>
    <col customWidth="1" min="4" max="4" width="25.88"/>
    <col customWidth="1" min="5" max="5" width="31.25"/>
  </cols>
  <sheetData>
    <row r="1">
      <c r="A1" s="1"/>
    </row>
    <row r="3" ht="22.5" customHeight="1">
      <c r="A3" s="2" t="s">
        <v>0</v>
      </c>
      <c r="B3" s="2" t="s">
        <v>1</v>
      </c>
      <c r="C3" s="2" t="s">
        <v>2</v>
      </c>
      <c r="D3" s="2" t="s">
        <v>3</v>
      </c>
    </row>
    <row r="4" ht="22.5" customHeight="1">
      <c r="A4" s="3">
        <v>50000.0</v>
      </c>
      <c r="B4" s="4"/>
      <c r="C4" s="4">
        <v>3000000.0</v>
      </c>
      <c r="D4" s="4">
        <v>150.0</v>
      </c>
    </row>
    <row r="6" ht="22.5" customHeight="1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</row>
    <row r="7" ht="22.5" customHeight="1">
      <c r="A7" s="5">
        <f>A4*B4-C4-A4*D4</f>
        <v>-10500000</v>
      </c>
      <c r="B7" s="6">
        <f>DIVIDE(C4,(B4-D4))</f>
        <v>-20000</v>
      </c>
      <c r="C7" s="5">
        <f>B7*B4</f>
        <v>0</v>
      </c>
      <c r="D7" s="5">
        <f>A4*B4-A4*D4</f>
        <v>-7500000</v>
      </c>
      <c r="E7" s="5">
        <f>Inputs[Preço]-Inputs[Custo Variável Unitário]</f>
        <v>-150</v>
      </c>
    </row>
    <row r="10">
      <c r="A10" s="7" t="s">
        <v>9</v>
      </c>
      <c r="B10" s="7" t="s">
        <v>10</v>
      </c>
    </row>
    <row r="11">
      <c r="A11" s="7" t="s">
        <v>11</v>
      </c>
      <c r="B11" s="8">
        <v>40000.0</v>
      </c>
      <c r="C11" s="7" t="s">
        <v>12</v>
      </c>
    </row>
    <row r="12">
      <c r="A12" s="7" t="s">
        <v>13</v>
      </c>
      <c r="B12" s="9">
        <v>136000.0</v>
      </c>
      <c r="C12" s="10">
        <f>DIVIDE(B11,B12)</f>
        <v>0.2941176471</v>
      </c>
      <c r="D12" s="7" t="s">
        <v>14</v>
      </c>
      <c r="E12" s="11">
        <f>DIVIDE(B12,B11)</f>
        <v>3.4</v>
      </c>
    </row>
    <row r="13">
      <c r="A13" s="7" t="s">
        <v>15</v>
      </c>
      <c r="B13" s="12">
        <v>300000.0</v>
      </c>
      <c r="C13" s="7" t="s">
        <v>16</v>
      </c>
      <c r="D13" s="7" t="s">
        <v>17</v>
      </c>
    </row>
    <row r="14">
      <c r="A14" s="7" t="s">
        <v>18</v>
      </c>
      <c r="B14" s="12">
        <v>60000.0</v>
      </c>
      <c r="C14" s="7" t="s">
        <v>19</v>
      </c>
      <c r="D14" s="7" t="s">
        <v>20</v>
      </c>
    </row>
    <row r="15">
      <c r="B15" s="12"/>
    </row>
    <row r="16">
      <c r="A16" s="7" t="s">
        <v>21</v>
      </c>
      <c r="B16" s="13"/>
    </row>
    <row r="17">
      <c r="A17" s="7" t="s">
        <v>11</v>
      </c>
      <c r="B17" s="7">
        <v>0.2</v>
      </c>
    </row>
    <row r="18">
      <c r="A18" s="7" t="s">
        <v>13</v>
      </c>
      <c r="B18" s="7">
        <v>600000.0</v>
      </c>
      <c r="C18" s="7">
        <v>720000.0</v>
      </c>
    </row>
    <row r="19">
      <c r="A19" s="7" t="s">
        <v>15</v>
      </c>
      <c r="B19" s="7">
        <v>-40000.0</v>
      </c>
      <c r="C19" s="7" t="s">
        <v>22</v>
      </c>
    </row>
    <row r="21">
      <c r="A21" s="7" t="s">
        <v>23</v>
      </c>
    </row>
    <row r="23">
      <c r="A23" s="14"/>
      <c r="B23" s="7" t="s">
        <v>24</v>
      </c>
      <c r="C23" s="7" t="s">
        <v>25</v>
      </c>
      <c r="D23" s="7" t="s">
        <v>26</v>
      </c>
      <c r="E23" s="7" t="s">
        <v>27</v>
      </c>
      <c r="F23" s="7" t="s">
        <v>28</v>
      </c>
    </row>
    <row r="24">
      <c r="A24" s="15" t="s">
        <v>29</v>
      </c>
      <c r="B24" s="16">
        <f t="shared" ref="B24:B29" si="1">SUM(C24:E24)</f>
        <v>50000</v>
      </c>
      <c r="C24" s="16">
        <v>30000.0</v>
      </c>
      <c r="D24" s="16">
        <v>15000.0</v>
      </c>
      <c r="E24" s="16">
        <v>5000.0</v>
      </c>
      <c r="F24" s="17">
        <f t="shared" ref="F24:F26" si="2">B24-D24</f>
        <v>35000</v>
      </c>
    </row>
    <row r="25">
      <c r="A25" s="18" t="s">
        <v>30</v>
      </c>
      <c r="B25" s="16">
        <f t="shared" si="1"/>
        <v>-26000</v>
      </c>
      <c r="C25" s="16">
        <v>-13000.0</v>
      </c>
      <c r="D25" s="16">
        <v>-10000.0</v>
      </c>
      <c r="E25" s="16">
        <v>-3000.0</v>
      </c>
      <c r="F25" s="17">
        <f t="shared" si="2"/>
        <v>-16000</v>
      </c>
      <c r="G25" s="7" t="s">
        <v>31</v>
      </c>
      <c r="H25" s="7" t="s">
        <v>32</v>
      </c>
    </row>
    <row r="26">
      <c r="A26" s="18" t="s">
        <v>33</v>
      </c>
      <c r="B26" s="16">
        <f t="shared" si="1"/>
        <v>-10500</v>
      </c>
      <c r="C26" s="16">
        <v>-6000.0</v>
      </c>
      <c r="D26" s="16">
        <v>-4000.0</v>
      </c>
      <c r="E26" s="16">
        <v>-500.0</v>
      </c>
      <c r="F26" s="17">
        <f t="shared" si="2"/>
        <v>-6500</v>
      </c>
      <c r="G26" s="7" t="s">
        <v>31</v>
      </c>
      <c r="H26" s="7" t="s">
        <v>32</v>
      </c>
    </row>
    <row r="27">
      <c r="A27" s="18" t="s">
        <v>34</v>
      </c>
      <c r="B27" s="16">
        <f t="shared" si="1"/>
        <v>-9000</v>
      </c>
      <c r="C27" s="16">
        <v>-5500.0</v>
      </c>
      <c r="D27" s="16">
        <v>-3000.0</v>
      </c>
      <c r="E27" s="16">
        <v>-500.0</v>
      </c>
      <c r="F27" s="17">
        <f t="shared" ref="F27:F28" si="3">B27</f>
        <v>-9000</v>
      </c>
      <c r="G27" s="7" t="s">
        <v>2</v>
      </c>
      <c r="H27" s="7" t="s">
        <v>35</v>
      </c>
    </row>
    <row r="28">
      <c r="A28" s="18" t="s">
        <v>36</v>
      </c>
      <c r="B28" s="16">
        <f t="shared" si="1"/>
        <v>-5000</v>
      </c>
      <c r="C28" s="16">
        <v>-3000.0</v>
      </c>
      <c r="D28" s="16">
        <v>-1500.0</v>
      </c>
      <c r="E28" s="16">
        <v>-500.0</v>
      </c>
      <c r="F28" s="17">
        <f t="shared" si="3"/>
        <v>-5000</v>
      </c>
      <c r="G28" s="7" t="s">
        <v>2</v>
      </c>
      <c r="H28" s="7" t="s">
        <v>35</v>
      </c>
    </row>
    <row r="29">
      <c r="A29" s="19" t="s">
        <v>37</v>
      </c>
      <c r="B29" s="16">
        <f t="shared" si="1"/>
        <v>-500</v>
      </c>
      <c r="C29" s="16">
        <f t="shared" ref="C29:F29" si="4">SUM(C24:C28)</f>
        <v>2500</v>
      </c>
      <c r="D29" s="16">
        <f t="shared" si="4"/>
        <v>-3500</v>
      </c>
      <c r="E29" s="16">
        <f t="shared" si="4"/>
        <v>500</v>
      </c>
      <c r="F29" s="17">
        <f t="shared" si="4"/>
        <v>-1500</v>
      </c>
    </row>
    <row r="30">
      <c r="A30" s="20"/>
    </row>
    <row r="31">
      <c r="A31" s="7" t="s">
        <v>38</v>
      </c>
      <c r="B31" s="21">
        <f t="shared" ref="B31:E31" si="5">B24+B25</f>
        <v>24000</v>
      </c>
      <c r="C31" s="21">
        <f t="shared" si="5"/>
        <v>17000</v>
      </c>
      <c r="D31" s="21">
        <f t="shared" si="5"/>
        <v>5000</v>
      </c>
      <c r="E31" s="21">
        <f t="shared" si="5"/>
        <v>2000</v>
      </c>
    </row>
    <row r="32">
      <c r="A32" s="22" t="s">
        <v>39</v>
      </c>
      <c r="B32" s="23">
        <f t="shared" ref="B32:E32" si="6">DIVIDE(B31,B24)</f>
        <v>0.48</v>
      </c>
      <c r="C32" s="23">
        <f t="shared" si="6"/>
        <v>0.5666666667</v>
      </c>
      <c r="D32" s="23">
        <f t="shared" si="6"/>
        <v>0.3333333333</v>
      </c>
      <c r="E32" s="23">
        <f t="shared" si="6"/>
        <v>0.4</v>
      </c>
    </row>
    <row r="33">
      <c r="B33" s="7" t="s">
        <v>40</v>
      </c>
      <c r="C33" s="7" t="s">
        <v>41</v>
      </c>
      <c r="D33" s="7" t="s">
        <v>42</v>
      </c>
      <c r="E33" s="7" t="s">
        <v>42</v>
      </c>
    </row>
    <row r="34">
      <c r="B34" s="7" t="s">
        <v>43</v>
      </c>
      <c r="C34" s="7" t="s">
        <v>44</v>
      </c>
    </row>
    <row r="35">
      <c r="C35" s="7" t="s">
        <v>45</v>
      </c>
    </row>
    <row r="36">
      <c r="C36" s="22" t="s">
        <v>46</v>
      </c>
    </row>
    <row r="37">
      <c r="A37" s="24" t="s">
        <v>47</v>
      </c>
      <c r="B37" s="25" t="s">
        <v>48</v>
      </c>
    </row>
    <row r="39">
      <c r="A39" s="7" t="s">
        <v>49</v>
      </c>
    </row>
    <row r="41">
      <c r="A41" s="7" t="s">
        <v>0</v>
      </c>
      <c r="B41" s="7">
        <v>50000.0</v>
      </c>
      <c r="C41" s="7">
        <v>60000.0</v>
      </c>
    </row>
    <row r="42">
      <c r="A42" s="7" t="s">
        <v>50</v>
      </c>
      <c r="B42" s="7">
        <v>70000.0</v>
      </c>
    </row>
    <row r="43">
      <c r="A43" s="7" t="s">
        <v>51</v>
      </c>
      <c r="B43" s="7">
        <v>150.0</v>
      </c>
      <c r="C43" s="7">
        <v>150.0</v>
      </c>
    </row>
    <row r="44">
      <c r="A44" s="7" t="s">
        <v>52</v>
      </c>
      <c r="B44" s="7">
        <v>3000000.0</v>
      </c>
      <c r="C44" s="7">
        <v>3000000.0</v>
      </c>
    </row>
    <row r="46">
      <c r="A46" s="7" t="s">
        <v>53</v>
      </c>
      <c r="B46" s="11">
        <f t="shared" ref="B46:C46" si="7">B43*B41</f>
        <v>7500000</v>
      </c>
      <c r="C46" s="11">
        <f t="shared" si="7"/>
        <v>9000000</v>
      </c>
    </row>
    <row r="47">
      <c r="B47" s="11">
        <f t="shared" ref="B47:C47" si="8">B46+B44</f>
        <v>10500000</v>
      </c>
      <c r="C47" s="11">
        <f t="shared" si="8"/>
        <v>12000000</v>
      </c>
    </row>
    <row r="48">
      <c r="A48" s="7" t="s">
        <v>54</v>
      </c>
      <c r="B48" s="26">
        <f t="shared" ref="B48:C48" si="9">DIVIDE(B47,B41)</f>
        <v>210</v>
      </c>
      <c r="C48" s="26">
        <f t="shared" si="9"/>
        <v>200</v>
      </c>
    </row>
    <row r="50">
      <c r="A50" s="7" t="s">
        <v>55</v>
      </c>
      <c r="B50" s="7">
        <v>180.0</v>
      </c>
    </row>
    <row r="51">
      <c r="A51" s="7" t="s">
        <v>56</v>
      </c>
      <c r="B51" s="7">
        <v>10000.0</v>
      </c>
    </row>
    <row r="52">
      <c r="A52" s="7" t="s">
        <v>57</v>
      </c>
      <c r="B52" s="11">
        <f>B50-B43</f>
        <v>30</v>
      </c>
      <c r="C52" s="7" t="s">
        <v>58</v>
      </c>
    </row>
    <row r="53">
      <c r="A53" s="7" t="s">
        <v>59</v>
      </c>
      <c r="B53" s="11">
        <f>B52*B51</f>
        <v>300000</v>
      </c>
      <c r="C53" s="22" t="s">
        <v>60</v>
      </c>
    </row>
    <row r="55">
      <c r="A55" s="7" t="s">
        <v>61</v>
      </c>
      <c r="B55" s="7" t="s">
        <v>62</v>
      </c>
    </row>
    <row r="56">
      <c r="A56" s="7" t="s">
        <v>63</v>
      </c>
      <c r="B56" s="7" t="s">
        <v>64</v>
      </c>
    </row>
    <row r="60">
      <c r="A60" s="7" t="s">
        <v>65</v>
      </c>
    </row>
    <row r="62">
      <c r="A62" s="7" t="s">
        <v>66</v>
      </c>
      <c r="B62" s="7">
        <v>20000.0</v>
      </c>
    </row>
    <row r="63">
      <c r="A63" s="7" t="s">
        <v>67</v>
      </c>
      <c r="B63" s="7">
        <v>1120.0</v>
      </c>
    </row>
    <row r="64">
      <c r="A64" s="7" t="s">
        <v>68</v>
      </c>
      <c r="B64" s="7">
        <v>4.0</v>
      </c>
      <c r="C64" s="7" t="s">
        <v>69</v>
      </c>
    </row>
    <row r="65">
      <c r="A65" s="7" t="s">
        <v>70</v>
      </c>
      <c r="B65" s="7">
        <v>44.0</v>
      </c>
    </row>
    <row r="66">
      <c r="A66" s="7" t="s">
        <v>71</v>
      </c>
      <c r="B66" s="7">
        <v>10.0</v>
      </c>
      <c r="C66" s="7" t="s">
        <v>69</v>
      </c>
    </row>
    <row r="68">
      <c r="A68" s="7" t="s">
        <v>72</v>
      </c>
      <c r="B68" s="7">
        <v>30.0</v>
      </c>
      <c r="C68" s="7" t="s">
        <v>69</v>
      </c>
    </row>
    <row r="70">
      <c r="A70" s="7" t="s">
        <v>73</v>
      </c>
      <c r="B70" s="11">
        <f>B68-B66</f>
        <v>20</v>
      </c>
      <c r="C70" s="7" t="s">
        <v>69</v>
      </c>
    </row>
    <row r="71">
      <c r="A71" s="7"/>
      <c r="C71" s="7"/>
    </row>
    <row r="72">
      <c r="A72" s="7" t="s">
        <v>74</v>
      </c>
      <c r="B72" s="11">
        <f>DIVIDE(B70,B64)</f>
        <v>5</v>
      </c>
      <c r="C72" s="7"/>
    </row>
    <row r="74">
      <c r="A74" s="7" t="s">
        <v>75</v>
      </c>
    </row>
    <row r="75">
      <c r="A75" s="7" t="s">
        <v>76</v>
      </c>
      <c r="B75" s="7">
        <v>18200.0</v>
      </c>
      <c r="D75" s="7" t="s">
        <v>77</v>
      </c>
    </row>
    <row r="76">
      <c r="A76" s="7" t="s">
        <v>78</v>
      </c>
      <c r="B76" s="7">
        <v>5093.95</v>
      </c>
    </row>
    <row r="77">
      <c r="A77" s="7" t="s">
        <v>79</v>
      </c>
      <c r="B77" s="7">
        <v>0.4298</v>
      </c>
    </row>
    <row r="79">
      <c r="A79" s="7" t="s">
        <v>80</v>
      </c>
      <c r="B79" s="11">
        <f>DIVIDE(B62,12)</f>
        <v>1666.666667</v>
      </c>
      <c r="C79" s="7">
        <v>1667.0</v>
      </c>
      <c r="D79" s="7" t="s">
        <v>81</v>
      </c>
    </row>
    <row r="81">
      <c r="A81" s="7" t="s">
        <v>82</v>
      </c>
      <c r="B81" s="11">
        <f>C79*B65</f>
        <v>73348</v>
      </c>
    </row>
    <row r="83">
      <c r="A83" s="7" t="s">
        <v>83</v>
      </c>
      <c r="B83" s="11">
        <f>DIVIDE(B81,B75)</f>
        <v>4.03010989</v>
      </c>
      <c r="C83" s="7">
        <v>5.0</v>
      </c>
      <c r="D83" s="7" t="s">
        <v>84</v>
      </c>
    </row>
    <row r="85">
      <c r="A85" s="7" t="s">
        <v>85</v>
      </c>
      <c r="B85" s="11">
        <f>C83</f>
        <v>5</v>
      </c>
      <c r="C85" s="11">
        <f>B72</f>
        <v>5</v>
      </c>
      <c r="D85" s="7" t="s">
        <v>86</v>
      </c>
    </row>
    <row r="87">
      <c r="A87" s="7" t="s">
        <v>87</v>
      </c>
      <c r="B87" s="11">
        <f>B63*2</f>
        <v>2240</v>
      </c>
      <c r="C87" s="7" t="s">
        <v>88</v>
      </c>
    </row>
    <row r="89">
      <c r="A89" s="7" t="s">
        <v>89</v>
      </c>
      <c r="B89" s="11">
        <f>B87*C83</f>
        <v>11200</v>
      </c>
    </row>
    <row r="91">
      <c r="A91" s="7" t="s">
        <v>90</v>
      </c>
      <c r="B91" s="11">
        <f>B89*B77</f>
        <v>4813.76</v>
      </c>
    </row>
    <row r="92">
      <c r="A92" s="7" t="s">
        <v>91</v>
      </c>
      <c r="B92" s="11">
        <f>B76</f>
        <v>5093.95</v>
      </c>
    </row>
    <row r="94">
      <c r="A94" s="7" t="s">
        <v>92</v>
      </c>
      <c r="B94" s="11">
        <f>SUM(B91:B92)</f>
        <v>9907.71</v>
      </c>
    </row>
    <row r="96">
      <c r="A96" s="27" t="s">
        <v>93</v>
      </c>
      <c r="B96" s="28">
        <f>DIVIDE(B94,C79)</f>
        <v>5.943437313</v>
      </c>
    </row>
    <row r="98">
      <c r="A98" s="7" t="s">
        <v>94</v>
      </c>
    </row>
    <row r="100">
      <c r="A100" s="7" t="s">
        <v>95</v>
      </c>
      <c r="B100" s="29">
        <f>B96</f>
        <v>5.943437313</v>
      </c>
    </row>
    <row r="102">
      <c r="A102" s="7" t="s">
        <v>96</v>
      </c>
      <c r="B102" s="30">
        <f>DIVIDE(B94,B89)</f>
        <v>0.8846169643</v>
      </c>
    </row>
    <row r="104">
      <c r="A104" s="7" t="s">
        <v>97</v>
      </c>
      <c r="B104" s="11">
        <f>DIVIDE(B81,1000)</f>
        <v>73.348</v>
      </c>
    </row>
    <row r="106">
      <c r="A106" s="7" t="s">
        <v>98</v>
      </c>
      <c r="B106" s="30">
        <f>DIVIDE(B94,B104)</f>
        <v>135.0781207</v>
      </c>
    </row>
    <row r="109">
      <c r="A109" s="7" t="s">
        <v>99</v>
      </c>
    </row>
    <row r="111">
      <c r="A111" s="31" t="s">
        <v>100</v>
      </c>
      <c r="B111" s="32" t="s">
        <v>101</v>
      </c>
      <c r="C111" s="32" t="s">
        <v>102</v>
      </c>
    </row>
    <row r="112">
      <c r="A112" s="33" t="s">
        <v>103</v>
      </c>
      <c r="B112" s="34" t="s">
        <v>104</v>
      </c>
      <c r="C112" s="35">
        <v>3750.0</v>
      </c>
    </row>
    <row r="113">
      <c r="A113" s="33" t="s">
        <v>105</v>
      </c>
      <c r="B113" s="34" t="s">
        <v>104</v>
      </c>
      <c r="C113" s="35">
        <v>1562.5</v>
      </c>
    </row>
    <row r="114">
      <c r="A114" s="33" t="s">
        <v>106</v>
      </c>
      <c r="B114" s="34" t="s">
        <v>107</v>
      </c>
      <c r="C114" s="36">
        <v>0.12</v>
      </c>
    </row>
    <row r="115">
      <c r="A115" s="33" t="s">
        <v>106</v>
      </c>
      <c r="B115" s="34" t="s">
        <v>108</v>
      </c>
      <c r="C115" s="37">
        <v>0.0095</v>
      </c>
    </row>
    <row r="116">
      <c r="A116" s="33" t="s">
        <v>109</v>
      </c>
      <c r="B116" s="34" t="s">
        <v>104</v>
      </c>
      <c r="C116" s="35">
        <v>3500.0</v>
      </c>
    </row>
    <row r="117">
      <c r="A117" s="38" t="s">
        <v>110</v>
      </c>
      <c r="B117" s="39"/>
      <c r="C117" s="39"/>
    </row>
    <row r="118">
      <c r="A118" s="33" t="s">
        <v>111</v>
      </c>
      <c r="B118" s="34" t="s">
        <v>112</v>
      </c>
      <c r="C118" s="40">
        <v>2.53</v>
      </c>
    </row>
    <row r="119">
      <c r="A119" s="33" t="s">
        <v>113</v>
      </c>
      <c r="B119" s="34" t="s">
        <v>114</v>
      </c>
      <c r="C119" s="35">
        <v>10000.0</v>
      </c>
    </row>
    <row r="120">
      <c r="A120" s="33" t="s">
        <v>115</v>
      </c>
      <c r="B120" s="34" t="s">
        <v>116</v>
      </c>
      <c r="C120" s="40">
        <v>30.0</v>
      </c>
    </row>
    <row r="121">
      <c r="A121" s="33" t="s">
        <v>117</v>
      </c>
      <c r="B121" s="34" t="s">
        <v>118</v>
      </c>
      <c r="C121" s="40">
        <v>18.0</v>
      </c>
    </row>
    <row r="122">
      <c r="A122" s="33" t="s">
        <v>119</v>
      </c>
      <c r="B122" s="34" t="s">
        <v>114</v>
      </c>
      <c r="C122" s="35">
        <v>100000.0</v>
      </c>
    </row>
    <row r="123">
      <c r="A123" s="33" t="s">
        <v>120</v>
      </c>
      <c r="B123" s="34" t="s">
        <v>121</v>
      </c>
      <c r="C123" s="40">
        <v>0.33</v>
      </c>
    </row>
    <row r="124">
      <c r="A124" s="33" t="s">
        <v>122</v>
      </c>
      <c r="B124" s="34" t="s">
        <v>114</v>
      </c>
      <c r="C124" s="35">
        <v>2000.0</v>
      </c>
    </row>
    <row r="125">
      <c r="A125" s="33" t="s">
        <v>123</v>
      </c>
      <c r="B125" s="34" t="s">
        <v>124</v>
      </c>
      <c r="C125" s="35">
        <v>27000.0</v>
      </c>
    </row>
    <row r="126">
      <c r="A126" s="38" t="s">
        <v>125</v>
      </c>
      <c r="B126" s="39"/>
      <c r="C126" s="39"/>
    </row>
    <row r="127">
      <c r="A127" s="33" t="s">
        <v>126</v>
      </c>
      <c r="B127" s="34" t="s">
        <v>127</v>
      </c>
      <c r="C127" s="35">
        <v>265000.0</v>
      </c>
    </row>
    <row r="128">
      <c r="A128" s="33" t="s">
        <v>128</v>
      </c>
      <c r="B128" s="34" t="s">
        <v>129</v>
      </c>
      <c r="C128" s="40">
        <v>60.0</v>
      </c>
    </row>
    <row r="129">
      <c r="A129" s="33" t="s">
        <v>130</v>
      </c>
      <c r="B129" s="34" t="s">
        <v>127</v>
      </c>
      <c r="C129" s="35">
        <v>95000.0</v>
      </c>
    </row>
    <row r="130">
      <c r="A130" s="33" t="s">
        <v>131</v>
      </c>
      <c r="B130" s="34" t="s">
        <v>132</v>
      </c>
      <c r="C130" s="40">
        <v>16.7</v>
      </c>
    </row>
    <row r="131">
      <c r="A131" s="33" t="s">
        <v>133</v>
      </c>
      <c r="B131" s="34" t="s">
        <v>134</v>
      </c>
      <c r="C131" s="40">
        <v>250.0</v>
      </c>
    </row>
    <row r="132">
      <c r="A132" s="33" t="s">
        <v>135</v>
      </c>
      <c r="B132" s="34" t="s">
        <v>132</v>
      </c>
      <c r="C132" s="40">
        <v>6.65</v>
      </c>
    </row>
    <row r="133">
      <c r="A133" s="33" t="s">
        <v>136</v>
      </c>
      <c r="B133" s="34" t="s">
        <v>127</v>
      </c>
      <c r="C133" s="40">
        <v>720.0</v>
      </c>
    </row>
    <row r="134">
      <c r="A134" s="33" t="s">
        <v>137</v>
      </c>
      <c r="B134" s="34" t="s">
        <v>138</v>
      </c>
      <c r="C134" s="35">
        <v>3200.0</v>
      </c>
    </row>
    <row r="135">
      <c r="A135" s="38" t="s">
        <v>139</v>
      </c>
      <c r="B135" s="39"/>
      <c r="C135" s="39"/>
    </row>
    <row r="136">
      <c r="A136" s="33" t="s">
        <v>140</v>
      </c>
      <c r="B136" s="34" t="s">
        <v>114</v>
      </c>
      <c r="C136" s="35">
        <v>2450.0</v>
      </c>
    </row>
    <row r="137">
      <c r="A137" s="33" t="s">
        <v>141</v>
      </c>
      <c r="B137" s="34" t="s">
        <v>142</v>
      </c>
      <c r="C137" s="35">
        <v>30000.0</v>
      </c>
    </row>
    <row r="138">
      <c r="A138" s="33" t="s">
        <v>143</v>
      </c>
      <c r="B138" s="34" t="s">
        <v>124</v>
      </c>
      <c r="C138" s="40">
        <v>70.0</v>
      </c>
    </row>
    <row r="139">
      <c r="A139" s="33" t="s">
        <v>144</v>
      </c>
      <c r="B139" s="34" t="s">
        <v>145</v>
      </c>
      <c r="C139" s="40">
        <v>6.0</v>
      </c>
    </row>
    <row r="140">
      <c r="A140" s="33" t="s">
        <v>146</v>
      </c>
      <c r="B140" s="34" t="s">
        <v>145</v>
      </c>
      <c r="C140" s="40">
        <v>6.0</v>
      </c>
    </row>
    <row r="143">
      <c r="A143" s="7" t="s">
        <v>147</v>
      </c>
      <c r="B143" s="11">
        <f>DIVIDE(C137,12)</f>
        <v>2500</v>
      </c>
    </row>
    <row r="145">
      <c r="A145" s="7" t="s">
        <v>148</v>
      </c>
      <c r="B145" s="11">
        <f>B143*C138</f>
        <v>175000</v>
      </c>
    </row>
    <row r="147">
      <c r="A147" s="7" t="s">
        <v>149</v>
      </c>
      <c r="B147" s="11">
        <f>C136*2</f>
        <v>4900</v>
      </c>
    </row>
    <row r="149">
      <c r="A149" s="7" t="s">
        <v>150</v>
      </c>
      <c r="B149" s="11">
        <f>30-C140</f>
        <v>24</v>
      </c>
    </row>
    <row r="151">
      <c r="A151" s="7" t="s">
        <v>151</v>
      </c>
      <c r="B151" s="11">
        <f>DIVIDE(B149,C139)</f>
        <v>4</v>
      </c>
    </row>
    <row r="153">
      <c r="A153" s="7" t="s">
        <v>152</v>
      </c>
      <c r="B153" s="11">
        <f>C125*B151</f>
        <v>108000</v>
      </c>
    </row>
    <row r="155">
      <c r="A155" s="7" t="s">
        <v>153</v>
      </c>
      <c r="B155" s="11">
        <f>DIVIDE(B145,B153)</f>
        <v>1.62037037</v>
      </c>
      <c r="C155" s="7" t="s">
        <v>154</v>
      </c>
    </row>
    <row r="156">
      <c r="A156" s="27" t="s">
        <v>155</v>
      </c>
      <c r="B156" s="27">
        <v>2.0</v>
      </c>
      <c r="C156" s="27" t="s">
        <v>156</v>
      </c>
    </row>
    <row r="158">
      <c r="A158" s="7" t="s">
        <v>157</v>
      </c>
      <c r="B158" s="11">
        <f>B145-B153</f>
        <v>67000</v>
      </c>
    </row>
    <row r="160">
      <c r="A160" s="7" t="s">
        <v>158</v>
      </c>
      <c r="B160" s="11">
        <f>DIVIDE(B158,C125)</f>
        <v>2.481481481</v>
      </c>
      <c r="C160" s="7" t="s">
        <v>159</v>
      </c>
    </row>
    <row r="161">
      <c r="B161" s="7">
        <v>3.0</v>
      </c>
      <c r="C161" s="7" t="s">
        <v>84</v>
      </c>
    </row>
    <row r="163">
      <c r="A163" s="27" t="s">
        <v>160</v>
      </c>
      <c r="B163" s="26">
        <f>DIVIDE(B145,B151+B161)</f>
        <v>25000</v>
      </c>
      <c r="C163" s="7" t="s">
        <v>161</v>
      </c>
    </row>
    <row r="164">
      <c r="A164" s="7"/>
      <c r="B164" s="23">
        <f>DIVIDE(B163,C125)</f>
        <v>0.9259259259</v>
      </c>
      <c r="C164" s="7" t="s">
        <v>162</v>
      </c>
    </row>
    <row r="165">
      <c r="A165" s="7" t="s">
        <v>163</v>
      </c>
    </row>
    <row r="166">
      <c r="A166" s="7" t="s">
        <v>164</v>
      </c>
      <c r="B166" s="11">
        <f>B153*2</f>
        <v>216000</v>
      </c>
    </row>
    <row r="168">
      <c r="A168" s="27" t="s">
        <v>165</v>
      </c>
      <c r="B168" s="10">
        <f>DIVIDE(B145,B166)</f>
        <v>0.8101851852</v>
      </c>
    </row>
    <row r="170">
      <c r="A170" s="7" t="s">
        <v>166</v>
      </c>
    </row>
    <row r="172">
      <c r="A172" s="7" t="s">
        <v>167</v>
      </c>
    </row>
    <row r="174">
      <c r="A174" s="7" t="s">
        <v>168</v>
      </c>
      <c r="B174" s="41">
        <f>DIVIDE(C127-C129,C128)</f>
        <v>2833.333333</v>
      </c>
    </row>
    <row r="175">
      <c r="B175" s="7">
        <v>2.0</v>
      </c>
    </row>
    <row r="176">
      <c r="A176" s="27" t="s">
        <v>169</v>
      </c>
      <c r="B176" s="42">
        <f>B174*B175</f>
        <v>5666.666667</v>
      </c>
      <c r="C176" s="7" t="s">
        <v>127</v>
      </c>
    </row>
    <row r="178">
      <c r="A178" s="27" t="s">
        <v>170</v>
      </c>
      <c r="B178" s="26">
        <f>(C112+C113)*B175</f>
        <v>10625</v>
      </c>
      <c r="C178" s="7" t="s">
        <v>127</v>
      </c>
    </row>
    <row r="180">
      <c r="A180" s="7" t="s">
        <v>171</v>
      </c>
      <c r="B180" s="11">
        <f>DIVIDE(C134,12)</f>
        <v>266.6666667</v>
      </c>
    </row>
    <row r="181">
      <c r="A181" s="27" t="s">
        <v>172</v>
      </c>
      <c r="B181" s="26">
        <f>B180*B175</f>
        <v>533.3333333</v>
      </c>
      <c r="C181" s="7" t="s">
        <v>127</v>
      </c>
    </row>
    <row r="183">
      <c r="A183" s="7" t="s">
        <v>173</v>
      </c>
      <c r="B183" s="21">
        <f>C116</f>
        <v>3500</v>
      </c>
      <c r="C183" s="7" t="s">
        <v>127</v>
      </c>
    </row>
    <row r="185">
      <c r="A185" s="7" t="s">
        <v>174</v>
      </c>
      <c r="B185" s="11">
        <f>C127*C115</f>
        <v>2517.5</v>
      </c>
    </row>
    <row r="186">
      <c r="A186" s="7" t="s">
        <v>175</v>
      </c>
      <c r="B186" s="11">
        <f>B185*B175</f>
        <v>5035</v>
      </c>
      <c r="C186" s="7" t="s">
        <v>127</v>
      </c>
    </row>
    <row r="189">
      <c r="A189" s="7" t="s">
        <v>52</v>
      </c>
      <c r="B189" s="11">
        <f>SUM(B178,B181,B183,B186,B176)</f>
        <v>25360</v>
      </c>
      <c r="C189" s="7" t="s">
        <v>127</v>
      </c>
    </row>
    <row r="191">
      <c r="A191" s="7" t="s">
        <v>176</v>
      </c>
      <c r="B191" s="11">
        <f>7*B147</f>
        <v>34300</v>
      </c>
    </row>
    <row r="192">
      <c r="A192" s="27" t="s">
        <v>177</v>
      </c>
      <c r="B192" s="43">
        <f>DIVIDE(B189,B191)</f>
        <v>0.7393586006</v>
      </c>
      <c r="C192" s="27" t="s">
        <v>178</v>
      </c>
    </row>
    <row r="194">
      <c r="A194" s="7" t="s">
        <v>179</v>
      </c>
    </row>
    <row r="196">
      <c r="A196" s="7" t="s">
        <v>180</v>
      </c>
    </row>
    <row r="198">
      <c r="A198" s="7" t="s">
        <v>181</v>
      </c>
      <c r="B198" s="11">
        <f>C121*C133</f>
        <v>12960</v>
      </c>
    </row>
    <row r="199">
      <c r="A199" s="27" t="s">
        <v>182</v>
      </c>
      <c r="B199" s="26">
        <f>DIVIDE(B198,C122)</f>
        <v>0.1296</v>
      </c>
      <c r="C199" s="27" t="s">
        <v>178</v>
      </c>
    </row>
    <row r="201">
      <c r="A201" s="7" t="s">
        <v>183</v>
      </c>
    </row>
    <row r="202">
      <c r="A202" s="27" t="s">
        <v>184</v>
      </c>
      <c r="B202" s="42">
        <f>DIVIDE(C132,C118)</f>
        <v>2.628458498</v>
      </c>
      <c r="C202" s="27" t="s">
        <v>178</v>
      </c>
    </row>
    <row r="204">
      <c r="A204" s="7" t="s">
        <v>185</v>
      </c>
    </row>
    <row r="205">
      <c r="A205" s="27" t="s">
        <v>186</v>
      </c>
      <c r="B205" s="26">
        <f>C130*DIVIDE(C120,C119)</f>
        <v>0.0501</v>
      </c>
      <c r="C205" s="27" t="s">
        <v>178</v>
      </c>
    </row>
    <row r="207">
      <c r="A207" s="7" t="s">
        <v>187</v>
      </c>
    </row>
    <row r="208">
      <c r="A208" s="7" t="s">
        <v>188</v>
      </c>
      <c r="B208" s="11">
        <f>DIVIDE(C131,C124)</f>
        <v>0.125</v>
      </c>
      <c r="C208" s="7" t="s">
        <v>178</v>
      </c>
    </row>
    <row r="209">
      <c r="A209" s="7"/>
    </row>
    <row r="210">
      <c r="A210" s="7" t="s">
        <v>189</v>
      </c>
      <c r="B210" s="11">
        <f>C123</f>
        <v>0.33</v>
      </c>
      <c r="C210" s="7" t="s">
        <v>178</v>
      </c>
    </row>
    <row r="211">
      <c r="A211" s="7"/>
    </row>
    <row r="212">
      <c r="A212" s="27" t="s">
        <v>190</v>
      </c>
      <c r="B212" s="44">
        <f>SUM(B199:B210)</f>
        <v>3.263158498</v>
      </c>
      <c r="C212" s="27" t="s">
        <v>178</v>
      </c>
    </row>
    <row r="213">
      <c r="A213" s="7"/>
    </row>
    <row r="214">
      <c r="A214" s="27" t="s">
        <v>191</v>
      </c>
      <c r="B214" s="45">
        <f>B212+B192</f>
        <v>4.002517099</v>
      </c>
      <c r="C214" s="27" t="s">
        <v>178</v>
      </c>
    </row>
    <row r="216">
      <c r="A216" s="7" t="s">
        <v>192</v>
      </c>
      <c r="B216" s="7">
        <v>4900.0</v>
      </c>
    </row>
    <row r="217">
      <c r="A217" s="7" t="s">
        <v>193</v>
      </c>
      <c r="B217" s="7">
        <v>7.0</v>
      </c>
    </row>
    <row r="219">
      <c r="A219" s="7" t="s">
        <v>176</v>
      </c>
      <c r="B219" s="11">
        <f>B217*B216</f>
        <v>34300</v>
      </c>
    </row>
    <row r="221">
      <c r="A221" s="7" t="s">
        <v>194</v>
      </c>
      <c r="B221" s="7">
        <v>4.9</v>
      </c>
      <c r="C221" s="7" t="s">
        <v>178</v>
      </c>
    </row>
    <row r="223">
      <c r="A223" s="27" t="s">
        <v>195</v>
      </c>
      <c r="B223" s="46">
        <f>B221*B219</f>
        <v>168070</v>
      </c>
      <c r="C223" s="27"/>
    </row>
    <row r="225">
      <c r="A225" s="7" t="s">
        <v>196</v>
      </c>
      <c r="B225" s="47">
        <f>B219*B214</f>
        <v>137286.3365</v>
      </c>
    </row>
    <row r="227">
      <c r="A227" s="27" t="s">
        <v>197</v>
      </c>
      <c r="B227" s="46">
        <f>B223-B225</f>
        <v>30783.66352</v>
      </c>
    </row>
    <row r="229">
      <c r="A229" s="22" t="s">
        <v>198</v>
      </c>
    </row>
    <row r="231">
      <c r="A231" s="7" t="s">
        <v>199</v>
      </c>
    </row>
    <row r="232">
      <c r="A232" s="7" t="s">
        <v>200</v>
      </c>
      <c r="B232" s="9">
        <v>1000000.0</v>
      </c>
    </row>
    <row r="233">
      <c r="A233" s="7" t="s">
        <v>201</v>
      </c>
      <c r="B233" s="9">
        <v>1080000.0</v>
      </c>
    </row>
    <row r="235">
      <c r="A235" s="7" t="s">
        <v>202</v>
      </c>
      <c r="B235" s="9">
        <v>250000.0</v>
      </c>
    </row>
    <row r="236">
      <c r="A236" s="7" t="s">
        <v>203</v>
      </c>
      <c r="B236" s="9">
        <v>38500.0</v>
      </c>
    </row>
    <row r="238">
      <c r="A238" s="7" t="s">
        <v>204</v>
      </c>
      <c r="B238" s="9">
        <v>180000.0</v>
      </c>
    </row>
    <row r="239">
      <c r="A239" s="7" t="s">
        <v>205</v>
      </c>
      <c r="B239" s="9">
        <v>8000.0</v>
      </c>
    </row>
    <row r="241">
      <c r="A241" s="7" t="s">
        <v>206</v>
      </c>
      <c r="B241" s="11">
        <f>DIVIDE((B235+B236),B235)</f>
        <v>1.154</v>
      </c>
    </row>
    <row r="242">
      <c r="A242" s="7" t="s">
        <v>207</v>
      </c>
      <c r="B242" s="30">
        <f>DIVIDE((B238+B239),B238)</f>
        <v>1.044444444</v>
      </c>
    </row>
    <row r="244">
      <c r="A244" s="7" t="s">
        <v>208</v>
      </c>
      <c r="B244" s="47">
        <f t="shared" ref="B244:B245" si="10">B232*B241</f>
        <v>1154000</v>
      </c>
    </row>
    <row r="245">
      <c r="A245" s="7" t="s">
        <v>209</v>
      </c>
      <c r="B245" s="47">
        <f t="shared" si="10"/>
        <v>1128000</v>
      </c>
    </row>
    <row r="247">
      <c r="A247" s="7" t="s">
        <v>210</v>
      </c>
      <c r="B247" s="47">
        <f>B244-B245</f>
        <v>26000</v>
      </c>
      <c r="C247" s="7" t="s">
        <v>211</v>
      </c>
    </row>
    <row r="249">
      <c r="A249" s="7" t="s">
        <v>212</v>
      </c>
    </row>
    <row r="250">
      <c r="A250" s="7" t="s">
        <v>213</v>
      </c>
    </row>
    <row r="252">
      <c r="A252" s="7" t="s">
        <v>214</v>
      </c>
    </row>
    <row r="253">
      <c r="A253" s="7" t="s">
        <v>215</v>
      </c>
      <c r="B253" s="9">
        <v>2500000.0</v>
      </c>
    </row>
    <row r="254">
      <c r="A254" s="7" t="s">
        <v>216</v>
      </c>
      <c r="B254" s="9">
        <v>2700000.0</v>
      </c>
    </row>
    <row r="256">
      <c r="A256" s="7" t="s">
        <v>217</v>
      </c>
      <c r="B256" s="9">
        <v>1350000.0</v>
      </c>
    </row>
    <row r="257">
      <c r="A257" s="7" t="s">
        <v>218</v>
      </c>
      <c r="B257" s="47">
        <v>320000.0</v>
      </c>
    </row>
    <row r="259">
      <c r="A259" s="7" t="s">
        <v>219</v>
      </c>
      <c r="B259" s="9">
        <v>2420000.0</v>
      </c>
    </row>
    <row r="260">
      <c r="A260" s="7" t="s">
        <v>220</v>
      </c>
      <c r="B260" s="9">
        <v>28400.0</v>
      </c>
    </row>
    <row r="262">
      <c r="A262" s="7" t="s">
        <v>221</v>
      </c>
      <c r="B262" s="30">
        <f>DIVIDE((B256+B257),B256)</f>
        <v>1.237037037</v>
      </c>
    </row>
    <row r="263">
      <c r="A263" s="7" t="s">
        <v>222</v>
      </c>
      <c r="B263" s="30">
        <f>DIVIDE((B259+B260),B259)</f>
        <v>1.011735537</v>
      </c>
    </row>
    <row r="265">
      <c r="A265" s="7" t="s">
        <v>223</v>
      </c>
      <c r="B265" s="47">
        <f t="shared" ref="B265:B266" si="11">B253*B262</f>
        <v>3092592.593</v>
      </c>
    </row>
    <row r="266">
      <c r="A266" s="7" t="s">
        <v>224</v>
      </c>
      <c r="B266" s="47">
        <f t="shared" si="11"/>
        <v>2731685.95</v>
      </c>
    </row>
    <row r="268">
      <c r="A268" s="7" t="s">
        <v>210</v>
      </c>
      <c r="B268" s="47">
        <f>B265-B266</f>
        <v>360906.6422</v>
      </c>
    </row>
    <row r="270">
      <c r="A270" s="7" t="s">
        <v>225</v>
      </c>
    </row>
    <row r="271">
      <c r="A271" s="7" t="s">
        <v>226</v>
      </c>
    </row>
    <row r="273">
      <c r="A273" s="7" t="s">
        <v>227</v>
      </c>
    </row>
    <row r="274">
      <c r="A274" s="7" t="s">
        <v>228</v>
      </c>
      <c r="B274" s="9">
        <v>2500000.0</v>
      </c>
    </row>
    <row r="275">
      <c r="A275" s="7" t="s">
        <v>229</v>
      </c>
      <c r="B275" s="9">
        <v>2850000.0</v>
      </c>
    </row>
    <row r="277">
      <c r="A277" s="7" t="s">
        <v>230</v>
      </c>
      <c r="B277" s="9">
        <v>350000.0</v>
      </c>
    </row>
    <row r="278">
      <c r="A278" s="7" t="s">
        <v>231</v>
      </c>
      <c r="B278" s="9">
        <v>67000.0</v>
      </c>
    </row>
    <row r="280">
      <c r="A280" s="7" t="s">
        <v>232</v>
      </c>
      <c r="B280" s="9">
        <v>420000.0</v>
      </c>
    </row>
    <row r="281">
      <c r="A281" s="7" t="s">
        <v>233</v>
      </c>
      <c r="B281" s="9">
        <v>9600.0</v>
      </c>
    </row>
    <row r="283">
      <c r="A283" s="7" t="s">
        <v>234</v>
      </c>
      <c r="B283" s="30">
        <f>DIVIDE((B277+B278),B277)</f>
        <v>1.191428571</v>
      </c>
    </row>
    <row r="284">
      <c r="A284" s="7" t="s">
        <v>235</v>
      </c>
      <c r="B284" s="30">
        <f>DIVIDE((B280+B281),B280)</f>
        <v>1.022857143</v>
      </c>
    </row>
    <row r="286">
      <c r="A286" s="7" t="s">
        <v>236</v>
      </c>
      <c r="B286" s="47">
        <f t="shared" ref="B286:B287" si="12">B274*B283</f>
        <v>2978571.429</v>
      </c>
    </row>
    <row r="287">
      <c r="A287" s="7" t="s">
        <v>237</v>
      </c>
      <c r="B287" s="47">
        <f t="shared" si="12"/>
        <v>2915142.857</v>
      </c>
    </row>
    <row r="289">
      <c r="A289" s="7" t="s">
        <v>210</v>
      </c>
      <c r="B289" s="47">
        <f>B286-B287</f>
        <v>63428.57143</v>
      </c>
    </row>
    <row r="291">
      <c r="A291" s="7" t="s">
        <v>238</v>
      </c>
    </row>
    <row r="292">
      <c r="A292" s="22" t="s">
        <v>239</v>
      </c>
    </row>
  </sheetData>
  <dataValidations>
    <dataValidation type="custom" allowBlank="1" showDropDown="1" sqref="A4:D4 A7:C7 E7">
      <formula1>AND(ISNUMBER(A4),(NOT(OR(NOT(ISERROR(DATEVALUE(A4))), AND(ISNUMBER(A4), LEFT(CELL("format", A4))="D")))))</formula1>
    </dataValidation>
  </dataValidations>
  <drawing r:id="rId1"/>
  <tableParts count="2">
    <tablePart r:id="rId4"/>
    <tablePart r:id="rId5"/>
  </tableParts>
</worksheet>
</file>