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,0"/>
    <numFmt numFmtId="165" formatCode="R$ #,##0.00"/>
    <numFmt numFmtId="166" formatCode="#,##0 &quot;kg&quot;"/>
    <numFmt numFmtId="167" formatCode="#,##0 &quot;un&quot;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color rgb="00000000"/>
      <sz val="10"/>
    </font>
    <font>
      <b val="1"/>
      <color rgb="00FFFFFF"/>
      <sz val="12"/>
    </font>
    <font>
      <b val="1"/>
      <color rgb="00FFFFFF"/>
      <sz val="10"/>
    </font>
    <font>
      <b val="1"/>
      <color rgb="00000000"/>
      <sz val="10"/>
    </font>
    <font>
      <b val="1"/>
      <color rgb="00375623"/>
      <sz val="10.5"/>
    </font>
    <font>
      <i val="1"/>
      <color rgb="001F4E78"/>
      <sz val="9.5"/>
    </font>
    <font>
      <b val="1"/>
      <color rgb="00000000"/>
      <sz val="11"/>
    </font>
    <font>
      <b val="1"/>
      <color rgb="00375623"/>
      <sz val="12"/>
    </font>
    <font>
      <color rgb="00833C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395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top" wrapText="1" indent="1"/>
    </xf>
    <xf numFmtId="0" fontId="3" fillId="4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indent="1"/>
    </xf>
    <xf numFmtId="164" fontId="2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9" fontId="5" fillId="6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indent="1"/>
    </xf>
    <xf numFmtId="0" fontId="2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6" fontId="6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7" fontId="2" fillId="6" borderId="1" applyAlignment="1" pivotButton="0" quotePrefix="0" xfId="0">
      <alignment horizontal="center" vertical="center"/>
    </xf>
    <xf numFmtId="166" fontId="2" fillId="6" borderId="1" applyAlignment="1" pivotButton="0" quotePrefix="0" xfId="0">
      <alignment horizontal="center" vertical="center"/>
    </xf>
    <xf numFmtId="167" fontId="6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165" fontId="9" fillId="7" borderId="1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8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1" t="inlineStr">
        <is>
          <t>Case 10 — Mix de Produção com Restrição de Matéria-Prima (Recurso Escasso)</t>
        </is>
      </c>
    </row>
    <row r="2"/>
    <row r="3" ht="95" customHeight="1">
      <c r="A3" s="2" t="inlineStr">
        <is>
          <t>A indústria XPTO tem custos de MOD = R$100,00/hora, MAT = R$200,00/kg, comissão de vendas de R$20,00/unidade e gastos fixos totais de R$700.000,00 no mês, rateados pela produção do período. No mês seguinte, por problemas logísticos, a empresa recebeu apenas 80% da matéria-prima que havia consumido no mês anterior e, como não existiam estoques, precisou restringir seu volume de produção. Determine a quantidade a produzir de cada produto — considerando que tudo o que for produzido será vendido — e o lucro esperado.</t>
        </is>
      </c>
    </row>
    <row r="5" ht="20" customHeight="1">
      <c r="A5" s="3" t="inlineStr">
        <is>
          <t>DADOS DE ENTRADA — CUSTOS UNITÁRIOS, PREÇOS E VOLUME DO MÊS ANTERIOR</t>
        </is>
      </c>
    </row>
    <row r="6" ht="30" customHeight="1">
      <c r="A6" s="4" t="inlineStr">
        <is>
          <t>Produto</t>
        </is>
      </c>
      <c r="B6" s="4" t="inlineStr">
        <is>
          <t>Tempo de
Fabricação (h/un)</t>
        </is>
      </c>
      <c r="C6" s="4" t="inlineStr">
        <is>
          <t>MOD
(R$100,00/h)</t>
        </is>
      </c>
      <c r="D6" s="4" t="inlineStr">
        <is>
          <t>Mat. Consumida
(kg/un)</t>
        </is>
      </c>
      <c r="E6" s="4" t="inlineStr">
        <is>
          <t>MAT
(R$200,00/kg)</t>
        </is>
      </c>
      <c r="F6" s="4" t="inlineStr">
        <is>
          <t>Comissão
(R$/un)</t>
        </is>
      </c>
      <c r="G6" s="4" t="inlineStr">
        <is>
          <t>Preço de
Venda (R$/un)</t>
        </is>
      </c>
      <c r="H6" s="4" t="inlineStr">
        <is>
          <t>Volume Mês
Anterior (un)</t>
        </is>
      </c>
    </row>
    <row r="7">
      <c r="A7" s="5" t="inlineStr">
        <is>
          <t>Produto A</t>
        </is>
      </c>
      <c r="B7" s="6" t="n">
        <v>5.5</v>
      </c>
      <c r="C7" s="7" t="inlineStr">
        <is>
          <t>=B7*100</t>
        </is>
      </c>
      <c r="D7" s="6" t="n">
        <v>2.5</v>
      </c>
      <c r="E7" s="7" t="inlineStr">
        <is>
          <t>=D7*200</t>
        </is>
      </c>
      <c r="F7" s="8" t="n">
        <v>20</v>
      </c>
      <c r="G7" s="7" t="n">
        <v>1500</v>
      </c>
      <c r="H7" s="9" t="n">
        <v>12000</v>
      </c>
    </row>
    <row r="8">
      <c r="A8" s="5" t="inlineStr">
        <is>
          <t>Produto B</t>
        </is>
      </c>
      <c r="B8" s="6" t="n">
        <v>4.6</v>
      </c>
      <c r="C8" s="7" t="inlineStr">
        <is>
          <t>=B8*100</t>
        </is>
      </c>
      <c r="D8" s="6" t="n">
        <v>1.4</v>
      </c>
      <c r="E8" s="7" t="inlineStr">
        <is>
          <t>=D8*200</t>
        </is>
      </c>
      <c r="F8" s="8" t="n">
        <v>20</v>
      </c>
      <c r="G8" s="7" t="n">
        <v>1300</v>
      </c>
      <c r="H8" s="9" t="n">
        <v>6000</v>
      </c>
    </row>
    <row r="9">
      <c r="A9" s="5" t="inlineStr">
        <is>
          <t>Produto C</t>
        </is>
      </c>
      <c r="B9" s="6" t="n">
        <v>6</v>
      </c>
      <c r="C9" s="7" t="inlineStr">
        <is>
          <t>=B9*100</t>
        </is>
      </c>
      <c r="D9" s="6" t="n">
        <v>1</v>
      </c>
      <c r="E9" s="7" t="inlineStr">
        <is>
          <t>=D9*200</t>
        </is>
      </c>
      <c r="F9" s="8" t="n">
        <v>20</v>
      </c>
      <c r="G9" s="7" t="n">
        <v>1260</v>
      </c>
      <c r="H9" s="9" t="n">
        <v>8000</v>
      </c>
    </row>
    <row r="10">
      <c r="A10" s="5" t="inlineStr">
        <is>
          <t>Produto D</t>
        </is>
      </c>
      <c r="B10" s="6" t="n">
        <v>4.3</v>
      </c>
      <c r="C10" s="7" t="inlineStr">
        <is>
          <t>=B10*100</t>
        </is>
      </c>
      <c r="D10" s="6" t="n">
        <v>0.5</v>
      </c>
      <c r="E10" s="7" t="inlineStr">
        <is>
          <t>=D10*200</t>
        </is>
      </c>
      <c r="F10" s="8" t="n">
        <v>20</v>
      </c>
      <c r="G10" s="7" t="n">
        <v>1000</v>
      </c>
      <c r="H10" s="9" t="n">
        <v>4000</v>
      </c>
    </row>
    <row r="12" ht="20" customHeight="1">
      <c r="A12" s="3" t="inlineStr">
        <is>
          <t>DADOS GERAIS DO PERÍODO</t>
        </is>
      </c>
    </row>
    <row r="13">
      <c r="A13" s="5" t="inlineStr">
        <is>
          <t>Gastos Fixos Totais do Mês (R$)</t>
        </is>
      </c>
      <c r="B13" s="7" t="n">
        <v>700000</v>
      </c>
      <c r="C13" s="10" t="n"/>
      <c r="D13" s="10" t="n"/>
      <c r="E13" s="10" t="n"/>
      <c r="F13" s="10" t="n"/>
      <c r="G13" s="10" t="n"/>
      <c r="H13" s="11" t="n"/>
    </row>
    <row r="14">
      <c r="A14" s="5" t="inlineStr">
        <is>
          <t>% de Matéria-Prima Recebida no Mês Seguinte (vs. consumo do mês anterior)</t>
        </is>
      </c>
      <c r="B14" s="12" t="n">
        <v>0.8</v>
      </c>
      <c r="C14" s="10" t="n"/>
      <c r="D14" s="10" t="n"/>
      <c r="E14" s="10" t="n"/>
      <c r="F14" s="10" t="n"/>
      <c r="G14" s="10" t="n"/>
      <c r="H14" s="11" t="n"/>
    </row>
    <row r="16" ht="20" customHeight="1">
      <c r="A16" s="3" t="inlineStr">
        <is>
          <t>PASSO 1 — MARGEM DE CONTRIBUIÇÃO UNITÁRIA (MCU) POR PRODUTO</t>
        </is>
      </c>
    </row>
    <row r="17" ht="30" customHeight="1">
      <c r="A17" s="4" t="inlineStr">
        <is>
          <t>Produto</t>
        </is>
      </c>
      <c r="B17" s="4" t="inlineStr">
        <is>
          <t>Preço de
Venda (R$)</t>
        </is>
      </c>
      <c r="C17" s="4" t="inlineStr">
        <is>
          <t>(–) MOD
(R$)</t>
        </is>
      </c>
      <c r="D17" s="4" t="inlineStr">
        <is>
          <t>(–) MAT
(R$)</t>
        </is>
      </c>
      <c r="E17" s="4" t="inlineStr">
        <is>
          <t>(–) Comissão
(R$)</t>
        </is>
      </c>
      <c r="F17" s="4">
        <f> MCU
(R$/un)</f>
        <v/>
      </c>
      <c r="G17" s="4" t="inlineStr">
        <is>
          <t>Fórmula (Excel)</t>
        </is>
      </c>
      <c r="H17" s="4" t="inlineStr"/>
    </row>
    <row r="18">
      <c r="A18" s="5" t="inlineStr">
        <is>
          <t>Produto A</t>
        </is>
      </c>
      <c r="B18" s="7" t="n">
        <v>1500</v>
      </c>
      <c r="C18" s="8" t="inlineStr">
        <is>
          <t>=C7</t>
        </is>
      </c>
      <c r="D18" s="8" t="inlineStr">
        <is>
          <t>=E7</t>
        </is>
      </c>
      <c r="E18" s="8" t="inlineStr">
        <is>
          <t>=F7</t>
        </is>
      </c>
      <c r="F18" s="13" t="n">
        <v>430</v>
      </c>
      <c r="G18" s="14" t="inlineStr">
        <is>
          <t>=Preço-MOD-MAT-Comissão</t>
        </is>
      </c>
    </row>
    <row r="19">
      <c r="A19" s="5" t="inlineStr">
        <is>
          <t>Produto B</t>
        </is>
      </c>
      <c r="B19" s="7" t="n">
        <v>1300</v>
      </c>
      <c r="C19" s="8" t="inlineStr">
        <is>
          <t>=C8</t>
        </is>
      </c>
      <c r="D19" s="8" t="inlineStr">
        <is>
          <t>=E8</t>
        </is>
      </c>
      <c r="E19" s="8" t="inlineStr">
        <is>
          <t>=F8</t>
        </is>
      </c>
      <c r="F19" s="13" t="n">
        <v>540</v>
      </c>
      <c r="G19" s="14" t="inlineStr">
        <is>
          <t>=Preço-MOD-MAT-Comissão</t>
        </is>
      </c>
    </row>
    <row r="20">
      <c r="A20" s="5" t="inlineStr">
        <is>
          <t>Produto C</t>
        </is>
      </c>
      <c r="B20" s="7" t="n">
        <v>1260</v>
      </c>
      <c r="C20" s="8" t="inlineStr">
        <is>
          <t>=C9</t>
        </is>
      </c>
      <c r="D20" s="8" t="inlineStr">
        <is>
          <t>=E9</t>
        </is>
      </c>
      <c r="E20" s="8" t="inlineStr">
        <is>
          <t>=F9</t>
        </is>
      </c>
      <c r="F20" s="13" t="n">
        <v>440</v>
      </c>
      <c r="G20" s="14" t="inlineStr">
        <is>
          <t>=Preço-MOD-MAT-Comissão</t>
        </is>
      </c>
    </row>
    <row r="21">
      <c r="A21" s="5" t="inlineStr">
        <is>
          <t>Produto D</t>
        </is>
      </c>
      <c r="B21" s="7" t="n">
        <v>1000</v>
      </c>
      <c r="C21" s="8" t="inlineStr">
        <is>
          <t>=C10</t>
        </is>
      </c>
      <c r="D21" s="8" t="inlineStr">
        <is>
          <t>=E10</t>
        </is>
      </c>
      <c r="E21" s="8" t="inlineStr">
        <is>
          <t>=F10</t>
        </is>
      </c>
      <c r="F21" s="13" t="n">
        <v>450</v>
      </c>
      <c r="G21" s="14" t="inlineStr">
        <is>
          <t>=Preço-MOD-MAT-Comissão</t>
        </is>
      </c>
    </row>
    <row r="23" ht="20" customHeight="1">
      <c r="A23" s="3" t="inlineStr">
        <is>
          <t>PASSO 2 — RECURSO ESCASSO: MATÉRIA-PRIMA DISPONÍVEL NO MÊS SEGUINTE</t>
        </is>
      </c>
    </row>
    <row r="24" ht="30" customHeight="1">
      <c r="A24" s="4" t="inlineStr">
        <is>
          <t>Passo</t>
        </is>
      </c>
      <c r="B24" s="4" t="inlineStr">
        <is>
          <t>Descrição</t>
        </is>
      </c>
      <c r="C24" s="4" t="inlineStr">
        <is>
          <t>Fórmula (Excel)</t>
        </is>
      </c>
      <c r="D24" s="4" t="inlineStr">
        <is>
          <t>Explicação</t>
        </is>
      </c>
      <c r="E24" s="4" t="inlineStr">
        <is>
          <t>Resultado</t>
        </is>
      </c>
      <c r="F24" s="4" t="inlineStr"/>
      <c r="G24" s="4" t="inlineStr"/>
      <c r="H24" s="4" t="inlineStr"/>
    </row>
    <row r="25">
      <c r="A25" s="5" t="inlineStr">
        <is>
          <t>1)</t>
        </is>
      </c>
      <c r="B25" s="15" t="inlineStr">
        <is>
          <t>Consumo total de matéria-prima no mês anterior (kg)</t>
        </is>
      </c>
      <c r="C25" s="16" t="inlineStr">
        <is>
          <t>=SOMARPRODUTO(Mat.kg/un; Volume)</t>
        </is>
      </c>
      <c r="D25" s="15" t="inlineStr">
        <is>
          <t>(12.000×2,5)+(6.000×1,4)+(8.000×1,0)+(4.000×0,5) = 30.000+8.400+8.000+2.000</t>
        </is>
      </c>
      <c r="E25" s="17" t="n">
        <v>48400</v>
      </c>
    </row>
    <row r="26">
      <c r="A26" s="5" t="inlineStr">
        <is>
          <t>2)</t>
        </is>
      </c>
      <c r="B26" s="15" t="inlineStr">
        <is>
          <t>Matéria-prima disponível no mês seguinte (80% do consumo anterior)</t>
        </is>
      </c>
      <c r="C26" s="16" t="inlineStr">
        <is>
          <t>=ConsumoAnterior*80%</t>
        </is>
      </c>
      <c r="D26" s="15" t="inlineStr">
        <is>
          <t>48.400 × 0,80</t>
        </is>
      </c>
      <c r="E26" s="17" t="n">
        <v>38720</v>
      </c>
    </row>
    <row r="28" ht="20" customHeight="1">
      <c r="A28" s="3" t="inlineStr">
        <is>
          <t>PASSO 3 — PRIORIZAÇÃO PELO RECURSO ESCASSO: MC POR KG DE MATÉRIA-PRIMA</t>
        </is>
      </c>
    </row>
    <row r="29" ht="30" customHeight="1">
      <c r="A29" s="4" t="inlineStr">
        <is>
          <t>Produto</t>
        </is>
      </c>
      <c r="B29" s="4" t="inlineStr">
        <is>
          <t>MCU
(R$/un)</t>
        </is>
      </c>
      <c r="C29" s="4" t="inlineStr">
        <is>
          <t>Mat. Consumida
(kg/un)</t>
        </is>
      </c>
      <c r="D29" s="4" t="inlineStr">
        <is>
          <t>MC por kg de MAT
(=MCU ÷ kg/un)</t>
        </is>
      </c>
      <c r="E29" s="4" t="inlineStr">
        <is>
          <t>Ordem de
Prioridade</t>
        </is>
      </c>
      <c r="F29" s="4" t="inlineStr"/>
      <c r="G29" s="4" t="inlineStr"/>
      <c r="H29" s="4" t="inlineStr"/>
    </row>
    <row r="30">
      <c r="A30" s="5" t="inlineStr">
        <is>
          <t>Produto D</t>
        </is>
      </c>
      <c r="B30" s="8" t="n">
        <v>450</v>
      </c>
      <c r="C30" s="6" t="n">
        <v>0.5</v>
      </c>
      <c r="D30" s="13" t="n">
        <v>900</v>
      </c>
      <c r="E30" s="18" t="inlineStr">
        <is>
          <t>1º (maior MC/kg)</t>
        </is>
      </c>
    </row>
    <row r="31">
      <c r="A31" s="5" t="inlineStr">
        <is>
          <t>Produto C</t>
        </is>
      </c>
      <c r="B31" s="8" t="n">
        <v>440</v>
      </c>
      <c r="C31" s="6" t="n">
        <v>1</v>
      </c>
      <c r="D31" s="13" t="n">
        <v>440</v>
      </c>
      <c r="E31" s="18" t="inlineStr">
        <is>
          <t>2º</t>
        </is>
      </c>
    </row>
    <row r="32">
      <c r="A32" s="5" t="inlineStr">
        <is>
          <t>Produto B</t>
        </is>
      </c>
      <c r="B32" s="8" t="n">
        <v>540</v>
      </c>
      <c r="C32" s="6" t="n">
        <v>1.4</v>
      </c>
      <c r="D32" s="13" t="n">
        <v>385.71</v>
      </c>
      <c r="E32" s="18" t="inlineStr">
        <is>
          <t>3º</t>
        </is>
      </c>
    </row>
    <row r="33">
      <c r="A33" s="5" t="inlineStr">
        <is>
          <t>Produto A</t>
        </is>
      </c>
      <c r="B33" s="8" t="n">
        <v>430</v>
      </c>
      <c r="C33" s="6" t="n">
        <v>2.5</v>
      </c>
      <c r="D33" s="13" t="n">
        <v>172</v>
      </c>
      <c r="E33" s="18" t="inlineStr">
        <is>
          <t>4º (menor MC/kg)</t>
        </is>
      </c>
    </row>
    <row r="35" ht="20" customHeight="1">
      <c r="A35" s="3" t="inlineStr">
        <is>
          <t>PASSO 4 — ALOCAÇÃO DO RECURSO ESCASSO: MIX ÓTIMO DE PRODUÇÃO</t>
        </is>
      </c>
    </row>
    <row r="36" ht="30" customHeight="1">
      <c r="A36" s="4" t="inlineStr">
        <is>
          <t>Ordem</t>
        </is>
      </c>
      <c r="B36" s="4" t="inlineStr">
        <is>
          <t>Produto</t>
        </is>
      </c>
      <c r="C36" s="4" t="inlineStr">
        <is>
          <t>Demanda Máxima
(un, = vol. mês ant.)</t>
        </is>
      </c>
      <c r="D36" s="4" t="inlineStr">
        <is>
          <t>Mat. Necessária
(kg)</t>
        </is>
      </c>
      <c r="E36" s="4" t="inlineStr">
        <is>
          <t>Mat. Disponível
Após Alocação (kg)</t>
        </is>
      </c>
      <c r="F36" s="4" t="inlineStr">
        <is>
          <t>Produção
Definida (un)</t>
        </is>
      </c>
      <c r="G36" s="4" t="inlineStr">
        <is>
          <t>Situação</t>
        </is>
      </c>
      <c r="H36" s="4" t="inlineStr"/>
    </row>
    <row r="37">
      <c r="A37" s="5" t="inlineStr">
        <is>
          <t>1º</t>
        </is>
      </c>
      <c r="B37" s="18" t="inlineStr">
        <is>
          <t>Produto D</t>
        </is>
      </c>
      <c r="C37" s="19" t="n">
        <v>4000</v>
      </c>
      <c r="D37" s="20" t="n">
        <v>2000</v>
      </c>
      <c r="E37" s="20" t="n">
        <v>36720</v>
      </c>
      <c r="F37" s="21" t="n">
        <v>4000</v>
      </c>
      <c r="G37" s="22" t="inlineStr">
        <is>
          <t>Atendido integralmente</t>
        </is>
      </c>
    </row>
    <row r="38">
      <c r="A38" s="5" t="inlineStr">
        <is>
          <t>2º</t>
        </is>
      </c>
      <c r="B38" s="18" t="inlineStr">
        <is>
          <t>Produto C</t>
        </is>
      </c>
      <c r="C38" s="19" t="n">
        <v>8000</v>
      </c>
      <c r="D38" s="20" t="n">
        <v>8000</v>
      </c>
      <c r="E38" s="20" t="n">
        <v>28720</v>
      </c>
      <c r="F38" s="21" t="n">
        <v>8000</v>
      </c>
      <c r="G38" s="22" t="inlineStr">
        <is>
          <t>Atendido integralmente</t>
        </is>
      </c>
    </row>
    <row r="39">
      <c r="A39" s="5" t="inlineStr">
        <is>
          <t>3º</t>
        </is>
      </c>
      <c r="B39" s="18" t="inlineStr">
        <is>
          <t>Produto B</t>
        </is>
      </c>
      <c r="C39" s="19" t="n">
        <v>6000</v>
      </c>
      <c r="D39" s="20" t="n">
        <v>8400</v>
      </c>
      <c r="E39" s="20" t="n">
        <v>20320</v>
      </c>
      <c r="F39" s="21" t="n">
        <v>6000</v>
      </c>
      <c r="G39" s="22" t="inlineStr">
        <is>
          <t>Atendido integralmente</t>
        </is>
      </c>
    </row>
    <row r="40">
      <c r="A40" s="5" t="inlineStr">
        <is>
          <t>4º</t>
        </is>
      </c>
      <c r="B40" s="18" t="inlineStr">
        <is>
          <t>Produto A</t>
        </is>
      </c>
      <c r="C40" s="19" t="n">
        <v>12000</v>
      </c>
      <c r="D40" s="20" t="n">
        <v>30000</v>
      </c>
      <c r="E40" s="20" t="n">
        <v>0</v>
      </c>
      <c r="F40" s="21" t="n">
        <v>8128</v>
      </c>
      <c r="G40" s="22" t="inlineStr">
        <is>
          <t>Atendido parcialmente (68% da demanda; matéria-prima esgotada)</t>
        </is>
      </c>
    </row>
    <row r="42" ht="20" customHeight="1">
      <c r="A42" s="3" t="inlineStr">
        <is>
          <t>PASSO 5 — RESULTADO: LUCRO ESPERADO DO MÊS SEGUINTE</t>
        </is>
      </c>
    </row>
    <row r="43" ht="30" customHeight="1">
      <c r="A43" s="4" t="inlineStr">
        <is>
          <t>Produto</t>
        </is>
      </c>
      <c r="B43" s="4" t="inlineStr">
        <is>
          <t>Produção
Definida (un)</t>
        </is>
      </c>
      <c r="C43" s="4" t="inlineStr">
        <is>
          <t>MCU
(R$/un)</t>
        </is>
      </c>
      <c r="D43" s="4" t="inlineStr">
        <is>
          <t>MC Total
(R$)</t>
        </is>
      </c>
      <c r="E43" s="4" t="inlineStr"/>
      <c r="F43" s="4" t="inlineStr"/>
      <c r="G43" s="4" t="inlineStr"/>
      <c r="H43" s="4" t="inlineStr"/>
    </row>
    <row r="44">
      <c r="A44" s="5" t="inlineStr">
        <is>
          <t>Produto D</t>
        </is>
      </c>
      <c r="B44" s="19" t="n">
        <v>4000</v>
      </c>
      <c r="C44" s="8" t="n">
        <v>450</v>
      </c>
      <c r="D44" s="13" t="n">
        <v>1800000</v>
      </c>
    </row>
    <row r="45">
      <c r="A45" s="5" t="inlineStr">
        <is>
          <t>Produto C</t>
        </is>
      </c>
      <c r="B45" s="19" t="n">
        <v>8000</v>
      </c>
      <c r="C45" s="8" t="n">
        <v>440</v>
      </c>
      <c r="D45" s="13" t="n">
        <v>3520000</v>
      </c>
    </row>
    <row r="46">
      <c r="A46" s="5" t="inlineStr">
        <is>
          <t>Produto B</t>
        </is>
      </c>
      <c r="B46" s="19" t="n">
        <v>6000</v>
      </c>
      <c r="C46" s="8" t="n">
        <v>540</v>
      </c>
      <c r="D46" s="13" t="n">
        <v>3240000</v>
      </c>
    </row>
    <row r="47">
      <c r="A47" s="5" t="inlineStr">
        <is>
          <t>Produto A</t>
        </is>
      </c>
      <c r="B47" s="19" t="n">
        <v>8128</v>
      </c>
      <c r="C47" s="8" t="n">
        <v>430</v>
      </c>
      <c r="D47" s="13" t="n">
        <v>3495040</v>
      </c>
    </row>
    <row r="48">
      <c r="A48" s="5" t="inlineStr">
        <is>
          <t>Margem de Contribuição Total (R$)</t>
        </is>
      </c>
      <c r="B48" s="13" t="n">
        <v>12055040</v>
      </c>
      <c r="C48" s="10" t="n"/>
      <c r="D48" s="10" t="n"/>
      <c r="E48" s="10" t="n"/>
      <c r="F48" s="10" t="n"/>
      <c r="G48" s="10" t="n"/>
      <c r="H48" s="11" t="n"/>
    </row>
    <row r="49">
      <c r="A49" s="5" t="inlineStr">
        <is>
          <t>(–) Gastos Fixos Totais (R$)</t>
        </is>
      </c>
      <c r="B49" s="7" t="n">
        <v>700000</v>
      </c>
      <c r="C49" s="10" t="n"/>
      <c r="D49" s="10" t="n"/>
      <c r="E49" s="10" t="n"/>
      <c r="F49" s="10" t="n"/>
      <c r="G49" s="10" t="n"/>
      <c r="H49" s="11" t="n"/>
    </row>
    <row r="50">
      <c r="A50" s="23">
        <f> Lucro Esperado do Mês (R$)</f>
        <v/>
      </c>
      <c r="B50" s="24" t="n">
        <v>11355040</v>
      </c>
      <c r="C50" s="10" t="n"/>
      <c r="D50" s="10" t="n"/>
      <c r="E50" s="10" t="n"/>
      <c r="F50" s="10" t="n"/>
      <c r="G50" s="10" t="n"/>
      <c r="H50" s="11" t="n"/>
    </row>
    <row r="52" ht="140" customHeight="1">
      <c r="A52" s="25" t="inlineStr">
        <is>
          <t>DIAGNÓSTICO: com a matéria-prima como recurso escasso (apenas 38.720 kg disponíveis, 80% dos 48.400 kg consumidos no mês anterior), a decisão de mix não deve seguir a margem de contribuição unitária isolada, e sim a MC por kg de matéria-prima consumida — o fator limitante. Ordenando por MC/kg: Produto D (R$900,00/kg) &gt; Produto C (R$440,00/kg) &gt; Produto B (R$385,71/kg) &gt; Produto A (R$172,00/kg). Alocando a matéria-prima disponível nessa ordem, D, C e B têm sua demanda máxima integralmente atendida (4.000 + 8.000 + 6.000 = 18.400 kg consumidos), sobrando 20.320 kg para o Produto A — que produz apenas 8.128 das 12.000 unidades demandadas (68%). Mix de produção definido: A = 8.128 un, B = 6.000 un, C = 8.000 un, D = 4.000 un. Lucro esperado do mês: R$ 11.355.040,00 (MC total de R$ 12.055.040,00 menos R$ 700.000,00 de gastos fixos). Se a empresa tivesse priorizado por preço de venda ou por MCU absoluta em vez de MC/kg, teria alocado a matéria-prima de forma subótima e obtido um lucro menor com a mesma quantidade de matéria-prima disponível.</t>
        </is>
      </c>
    </row>
  </sheetData>
  <mergeCells count="33">
    <mergeCell ref="G21:H21"/>
    <mergeCell ref="E45:H45"/>
    <mergeCell ref="E26:H26"/>
    <mergeCell ref="F33:H33"/>
    <mergeCell ref="B49:H49"/>
    <mergeCell ref="F32:H32"/>
    <mergeCell ref="E25:H25"/>
    <mergeCell ref="G39:H39"/>
    <mergeCell ref="B50:H50"/>
    <mergeCell ref="G38:H38"/>
    <mergeCell ref="E47:H47"/>
    <mergeCell ref="F31:H31"/>
    <mergeCell ref="A16:H16"/>
    <mergeCell ref="G19:H19"/>
    <mergeCell ref="G37:H37"/>
    <mergeCell ref="G18:H18"/>
    <mergeCell ref="A12:H12"/>
    <mergeCell ref="A3:H3"/>
    <mergeCell ref="A42:H42"/>
    <mergeCell ref="E44:H44"/>
    <mergeCell ref="B48:H48"/>
    <mergeCell ref="A5:H5"/>
    <mergeCell ref="A23:H23"/>
    <mergeCell ref="A1:H2"/>
    <mergeCell ref="B14:H14"/>
    <mergeCell ref="G20:H20"/>
    <mergeCell ref="A35:H35"/>
    <mergeCell ref="B13:H13"/>
    <mergeCell ref="A52:H52"/>
    <mergeCell ref="A28:H28"/>
    <mergeCell ref="E46:H46"/>
    <mergeCell ref="F30:H30"/>
    <mergeCell ref="G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2026-08-17T13:04:53Z</dcterms:created>
  <dcterms:modified xmlns:dcterms="http://purl.org/dc/terms/" xmlns:xsi="http://www.w3.org/2001/XMLSchema-instance" xsi:type="dcterms:W3CDTF">2026-08-17T13:04:53Z</dcterms:modified>
</cp:coreProperties>
</file>